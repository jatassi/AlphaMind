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main-Entity Mapping" sheetId="1" state="visible" r:id="rId3"/>
    <sheet name="Data Source Catalog" sheetId="2" state="visible" r:id="rId4"/>
    <sheet name="Cost Breakdown — $58mo" sheetId="3" state="visible" r:id="rId5"/>
    <sheet name="Remaining Gaps" sheetId="4" state="visible" r:id="rId6"/>
  </sheets>
  <definedNames>
    <definedName function="false" hidden="true" localSheetId="1" name="_xlnm._FilterDatabase" vbProcedure="false">'Data Source Catalog'!$A$1:$M$27</definedName>
    <definedName function="false" hidden="true" localSheetId="0" name="_xlnm._FilterDatabase" vbProcedure="false">'Domain-Entity Mapping'!$A$1:$J$70</definedName>
    <definedName function="false" hidden="true" localSheetId="3" name="_xlnm._FilterDatabase" vbProcedure="false">'Remaining Gaps'!$A$1:$H$26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<sst xmlns="http://schemas.openxmlformats.org/spreadsheetml/2006/main" count="1429" uniqueCount="995">
  <si>
    <t xml:space="preserve">Quant/Qual Category</t>
  </si>
  <si>
    <t xml:space="preserve">Sub-Category ID</t>
  </si>
  <si>
    <t xml:space="preserve">Target Domain</t>
  </si>
  <si>
    <t xml:space="preserve">Target Entity / Object</t>
  </si>
  <si>
    <t xml:space="preserve">Key Target Fields (representative)</t>
  </si>
  <si>
    <t xml:space="preserve">Cadence</t>
  </si>
  <si>
    <t xml:space="preserve">Primary Source(s)</t>
  </si>
  <si>
    <t xml:space="preserve">Fallback Source(s)</t>
  </si>
  <si>
    <t xml:space="preserve">Feasibility</t>
  </si>
  <si>
    <t xml:space="preserve">Notes / Gaps</t>
  </si>
  <si>
    <t xml:space="preserve">Q1: Price &amp; Volume</t>
  </si>
  <si>
    <t xml:space="preserve">1a</t>
  </si>
  <si>
    <t xml:space="preserve">Market Data</t>
  </si>
  <si>
    <t xml:space="preserve">MultiTimeframePriceBar</t>
  </si>
  <si>
    <t xml:space="preserve">open, high, low, close, volume, vwap, timeframe</t>
  </si>
  <si>
    <t xml:space="preserve">Every invocation</t>
  </si>
  <si>
    <t xml:space="preserve">Polygon Stocks Starter ($29/mo)</t>
  </si>
  <si>
    <t xml:space="preserve">Alpaca (free w/ account), yfinance</t>
  </si>
  <si>
    <t xml:space="preserve">HIGH</t>
  </si>
  <si>
    <t xml:space="preserve">Core OHLCV — solved. Polygon Stocks Starter covers 1min–weekly bars, 5yr history, extended hours, websockets (3 conn). 15-min delayed quotes.</t>
  </si>
  <si>
    <t xml:space="preserve">1b</t>
  </si>
  <si>
    <t xml:space="preserve">VolumeProfile</t>
  </si>
  <si>
    <t xml:space="preserve">value_area_high, value_area_low, poc, high_vol_nodes[], low_vol_nodes[]</t>
  </si>
  <si>
    <t xml:space="preserve">Derived from Polygon Stocks Starter 1-min bars</t>
  </si>
  <si>
    <t xml:space="preserve">yfinance 1-min bars (60 days only)</t>
  </si>
  <si>
    <t xml:space="preserve">MEDIUM</t>
  </si>
  <si>
    <t xml:space="preserve">True volume profile needs tick-level data (Stocks Developer $79/mo). Approximate from 1-min bars — acceptable for swing trades.</t>
  </si>
  <si>
    <t xml:space="preserve">1c</t>
  </si>
  <si>
    <t xml:space="preserve">Derived / Distillation</t>
  </si>
  <si>
    <t xml:space="preserve">TechnicalIndicator</t>
  </si>
  <si>
    <t xml:space="preserve">rsi, macd_signal, macd_hist, bollinger_upper/lower, adx, atr</t>
  </si>
  <si>
    <t xml:space="preserve">Computed from 1a OHLCV</t>
  </si>
  <si>
    <t xml:space="preserve">TA-Lib / pandas-ta locally</t>
  </si>
  <si>
    <t xml:space="preserve">100% derived from OHLCV. No external source needed.</t>
  </si>
  <si>
    <t xml:space="preserve">1d</t>
  </si>
  <si>
    <t xml:space="preserve">GapAnalysis</t>
  </si>
  <si>
    <t xml:space="preserve">gap_pct, gap_atr_relative, gap_type, gap_fill_probability</t>
  </si>
  <si>
    <t xml:space="preserve">N/A</t>
  </si>
  <si>
    <t xml:space="preserve">Derived from OHLCV + historical gap-fill stats.</t>
  </si>
  <si>
    <t xml:space="preserve">1e</t>
  </si>
  <si>
    <t xml:space="preserve">RelativePerformance</t>
  </si>
  <si>
    <t xml:space="preserve">rs_vs_sector_etf, rs_vs_spy, intra_sector_rank, rs_regime_change</t>
  </si>
  <si>
    <t xml:space="preserve">Derived by comparing ticker OHLCV to sector ETF and SPY OHLCV.</t>
  </si>
  <si>
    <t xml:space="preserve">1f</t>
  </si>
  <si>
    <t xml:space="preserve">HistoricalContext</t>
  </si>
  <si>
    <t xml:space="preserve">atr_normalized_move, pct_52wk_range, distance_from_ma, vol_regime</t>
  </si>
  <si>
    <t xml:space="preserve">Derived from OHLCV + rolling statistics.</t>
  </si>
  <si>
    <t xml:space="preserve">1g</t>
  </si>
  <si>
    <t xml:space="preserve">ExtendedHoursBar</t>
  </si>
  <si>
    <t xml:space="preserve">pre_ohlcv, after_ohlcv, ext_hours_volume_ratio, live_overnight_gap</t>
  </si>
  <si>
    <t xml:space="preserve">Alpaca</t>
  </si>
  <si>
    <t xml:space="preserve">Polygon Stocks Starter provides pre/after-hours bars.</t>
  </si>
  <si>
    <t xml:space="preserve">Q2: Order Flow</t>
  </si>
  <si>
    <t xml:space="preserve">2a</t>
  </si>
  <si>
    <t xml:space="preserve">Market Microstructure</t>
  </si>
  <si>
    <t xml:space="preserve">TradeFlowAggregate</t>
  </si>
  <si>
    <t xml:space="preserve">net_dollar_flow, trade_size_distribution, aggressor_balance, vw_flow_direction</t>
  </si>
  <si>
    <t xml:space="preserve">Alpaca IEX trades (free) + Lee-Ready algorithm + Polygon Stocks Starter bars</t>
  </si>
  <si>
    <t xml:space="preserve">Polygon Stocks Developer ($79/mo for full-market ticks)</t>
  </si>
  <si>
    <t xml:space="preserve">Alpaca free tier provides real-time IEX individual trades (price, size, timestamp) + NBBO quotes. Apply Lee-Ready algorithm: compare trade price to bid/ask midpoint for aggressor classification. IEX = ~2-3% of market volume — partial but directional signal. Supplement with bar-level approximation from Polygon 1-min bars for remaining volume.</t>
  </si>
  <si>
    <t xml:space="preserve">2b</t>
  </si>
  <si>
    <t xml:space="preserve">LiquiditySnapshot</t>
  </si>
  <si>
    <t xml:space="preserve">avg_spread, depth_at_levels[], book_imbalance, liquidity_score</t>
  </si>
  <si>
    <t xml:space="preserve">Polygon Stocks Starter (last quote spread)</t>
  </si>
  <si>
    <t xml:space="preserve">LOW-MEDIUM</t>
  </si>
  <si>
    <t xml:space="preserve">Multi-level depth not available. Track NBBO spread from Polygon last-quote snapshots as liquidity proxy.</t>
  </si>
  <si>
    <t xml:space="preserve">2c</t>
  </si>
  <si>
    <t xml:space="preserve">InstitutionalFlow</t>
  </si>
  <si>
    <t xml:space="preserve">block_trades[], dark_pool_volume_pct, finra_short_volume, dark_pool_buying_selling</t>
  </si>
  <si>
    <t xml:space="preserve">FINRA Short Vol (free) + FINRA ATS weekly data (free)</t>
  </si>
  <si>
    <t xml:space="preserve">Polygon trade condition codes (Stocks Developer)</t>
  </si>
  <si>
    <t xml:space="preserve">LOW</t>
  </si>
  <si>
    <t xml:space="preserve">Venue-level dark pool attribution deferred. FINRA short volume daily (free). FINRA ATS Transparency provides weekly venue-level dark pool volumes (delayed).</t>
  </si>
  <si>
    <t xml:space="preserve">2d</t>
  </si>
  <si>
    <t xml:space="preserve">AuctionData</t>
  </si>
  <si>
    <t xml:space="preserve">moc_imbalance, moo_imbalance, imbalance_evolution, auction_volume_concentration</t>
  </si>
  <si>
    <t xml:space="preserve">Pre-open + pre-close runs</t>
  </si>
  <si>
    <t xml:space="preserve">Not available at hobby scale</t>
  </si>
  <si>
    <t xml:space="preserve">VERY LOW</t>
  </si>
  <si>
    <t xml:space="preserve">Real-time MOC/MOO imbalance requires direct exchange feeds. Accept gap.</t>
  </si>
  <si>
    <t xml:space="preserve">2e</t>
  </si>
  <si>
    <t xml:space="preserve">IntradayFlowPattern</t>
  </si>
  <si>
    <t xml:space="preserve">vwap_trajectory, volume_distribution, eod_positioning_flow, time_anomalies</t>
  </si>
  <si>
    <t xml:space="preserve">Derived from 1a (1-min bars)</t>
  </si>
  <si>
    <t xml:space="preserve">VWAP trajectory and time-of-day volume patterns computable from 1-min bars.</t>
  </si>
  <si>
    <t xml:space="preserve">2f</t>
  </si>
  <si>
    <t xml:space="preserve">ExtendedHoursFlow</t>
  </si>
  <si>
    <t xml:space="preserve">ext_hours_tape, ext_hours_size_dist, ext_hours_blocks, confirmation_flag</t>
  </si>
  <si>
    <t xml:space="preserve">Polygon Stocks Starter (ext-hours bars)</t>
  </si>
  <si>
    <t xml:space="preserve">Ext-hours bars from Starter. Block-level detection needs Developer tick data.</t>
  </si>
  <si>
    <t xml:space="preserve">Q3: Derivatives</t>
  </si>
  <si>
    <t xml:space="preserve">3a</t>
  </si>
  <si>
    <t xml:space="preserve">Options Analytics</t>
  </si>
  <si>
    <t xml:space="preserve">ImpliedVolSurface</t>
  </si>
  <si>
    <t xml:space="preserve">term_structure, skew, iv_vs_rv, iv_rank, iv_percentile</t>
  </si>
  <si>
    <t xml:space="preserve">Polygon Options Starter ($29/mo)</t>
  </si>
  <si>
    <t xml:space="preserve">yfinance EOD chains + local BS model</t>
  </si>
  <si>
    <t xml:space="preserve">Options Starter: real-time greeks + IV per contract, daily OI, chain snapshots, websockets. IV surface, skew, term structure all derivable from chain data. 2yr history (not 5 — shorter than Stocks Starter).</t>
  </si>
  <si>
    <t xml:space="preserve">3b</t>
  </si>
  <si>
    <t xml:space="preserve">UnusualOptionsActivity</t>
  </si>
  <si>
    <t xml:space="preserve">block_trades[], sweeps[], vol_vs_oi_spikes, new_vs_closing</t>
  </si>
  <si>
    <t xml:space="preserve">Pseudo-sweep detector from Polygon Options Starter snapshots (poll every 60s)</t>
  </si>
  <si>
    <t xml:space="preserve">Polygon Options Developer ($79/mo for true sweep detection)</t>
  </si>
  <si>
    <t xml:space="preserve">Build pseudo-sweep/block detector: poll Options Starter chain every 60s, detect volume-vs-OI spikes, sudden IV jumps, OI changes between snapshots. Flag contracts where volume &gt;&gt; OI as potential sweeps. ~65% accuracy vs true trade-level detection. Multi-leg detection from correlated OI changes across strikes. True sweep/block requires Options Developer ($79/mo).</t>
  </si>
  <si>
    <t xml:space="preserve">3c</t>
  </si>
  <si>
    <t xml:space="preserve">OpenInterestLandscape</t>
  </si>
  <si>
    <t xml:space="preserve">strike_oi_concentration[], oi_changes[], expiration_clustering, pcr_by_strike, cot_positioning</t>
  </si>
  <si>
    <t xml:space="preserve">Polygon Options Starter ($29/mo) + CFTC (free)</t>
  </si>
  <si>
    <t xml:space="preserve">yfinance (unreliable)</t>
  </si>
  <si>
    <t xml:space="preserve">Options Starter provides daily OI per contract. OI concentration, put/call by strike, max pain all derivable. CFTC COT for index futures positioning.</t>
  </si>
  <si>
    <t xml:space="preserve">3d</t>
  </si>
  <si>
    <t xml:space="preserve">DealerExposure</t>
  </si>
  <si>
    <t xml:space="preserve">gex, gex_flip_levels, dex, vanna_charm_flows</t>
  </si>
  <si>
    <t xml:space="preserve">Derived: Polygon Options Starter (OI + greeks) → local GEX/DEX</t>
  </si>
  <si>
    <t xml:space="preserve">GEX = Σ(OI × gamma × 100 × spot²) per strike. Options Starter provides OI + greeks per contract. All computable locally.</t>
  </si>
  <si>
    <t xml:space="preserve">3e</t>
  </si>
  <si>
    <t xml:space="preserve">EarningsImpliedMove</t>
  </si>
  <si>
    <t xml:space="preserve">implied_move, historical_comparison, straddle_richness, iv_ramp</t>
  </si>
  <si>
    <t xml:space="preserve">Earnings season</t>
  </si>
  <si>
    <t xml:space="preserve">Derived from Polygon Options Starter (ATM straddle pricing)</t>
  </si>
  <si>
    <t xml:space="preserve">Market Chameleon (free limited data)</t>
  </si>
  <si>
    <t xml:space="preserve">ATM straddle pricing directly available from chain snapshots. Implied move = straddle_price / spot.</t>
  </si>
  <si>
    <t xml:space="preserve">3f</t>
  </si>
  <si>
    <t xml:space="preserve">PutCallDynamics</t>
  </si>
  <si>
    <t xml:space="preserve">pcr_volume, flow_directionality, protective_vs_speculative, index_vs_single_skew</t>
  </si>
  <si>
    <t xml:space="preserve">Put/call volume ratio from snapshots. Directional classification limited without trade-level data.</t>
  </si>
  <si>
    <t xml:space="preserve">3g</t>
  </si>
  <si>
    <t xml:space="preserve">CrossTickerOptionsSignal</t>
  </si>
  <si>
    <t xml:space="preserve">pair_trade_signatures[], sector_sweeps[], cross_sector_hedges[], etf_divergence</t>
  </si>
  <si>
    <t xml:space="preserve">Derived from 3a-3f across universe</t>
  </si>
  <si>
    <t xml:space="preserve">Cross-ticker detection by scanning OI/IV anomalies across all 65 tickers from chain snapshots.</t>
  </si>
  <si>
    <t xml:space="preserve">3h</t>
  </si>
  <si>
    <t xml:space="preserve">SectorETFOptionsFlow</t>
  </si>
  <si>
    <t xml:space="preserve">etf_unusual_activity[], etf_pcr_flow, etf_iv_vs_single_name, etf_net_flow</t>
  </si>
  <si>
    <t xml:space="preserve">Polygon Options Starter — apply to XLK/XLF/XLE/SMH/QQQ</t>
  </si>
  <si>
    <t xml:space="preserve">Same degradation as above</t>
  </si>
  <si>
    <t xml:space="preserve">Same Options Starter coverage applied to sector ETFs.</t>
  </si>
  <si>
    <t xml:space="preserve">Q4: Short Selling</t>
  </si>
  <si>
    <t xml:space="preserve">4a</t>
  </si>
  <si>
    <t xml:space="preserve">Short Interest</t>
  </si>
  <si>
    <t xml:space="preserve">ShortInterestSnapshot</t>
  </si>
  <si>
    <t xml:space="preserve">si_pct_float, si_ratio_dtc, utilization_rate, si_trend</t>
  </si>
  <si>
    <t xml:space="preserve">Bi-monthly (FINRA cycle)</t>
  </si>
  <si>
    <t xml:space="preserve">FINRA via free aggregators</t>
  </si>
  <si>
    <t xml:space="preserve">yfinance (some SI data)</t>
  </si>
  <si>
    <t xml:space="preserve">HIGH (delayed)</t>
  </si>
  <si>
    <t xml:space="preserve">Free from FINRA, bi-monthly with ~10 day lag. Utilization rate not available free.</t>
  </si>
  <si>
    <t xml:space="preserve">4b</t>
  </si>
  <si>
    <t xml:space="preserve">BorrowCost</t>
  </si>
  <si>
    <t xml:space="preserve">current_fee, fee_trend, fee_term_structure, htb_status</t>
  </si>
  <si>
    <t xml:space="preserve">Every 15 min (scrape)</t>
  </si>
  <si>
    <t xml:space="preserve">iBorrowDesk (free, scraping IBKR data)</t>
  </si>
  <si>
    <t xml:space="preserve">Fintel.io (official API, pricing TBD)</t>
  </si>
  <si>
    <t xml:space="preserve">iBorrowDesk scrapes IBKR borrow data every 15 min. Covers our 65-ticker universe. Legally gray. FINRA SLATE (official free source) delayed to March 2029.</t>
  </si>
  <si>
    <t xml:space="preserve">4c</t>
  </si>
  <si>
    <t xml:space="preserve">ShortVolumeDaily</t>
  </si>
  <si>
    <t xml:space="preserve">daily_short_vol, short_vol_ratio, short_vol_trend, contextualization_flag</t>
  </si>
  <si>
    <t xml:space="preserve">Daily</t>
  </si>
  <si>
    <t xml:space="preserve">FINRA (free)</t>
  </si>
  <si>
    <t xml:space="preserve">Quandl/Nasdaq Data Link (free tier)</t>
  </si>
  <si>
    <t xml:space="preserve">FINRA publishes daily. Free and reliable.</t>
  </si>
  <si>
    <t xml:space="preserve">4d</t>
  </si>
  <si>
    <t xml:space="preserve">LendingMarketStructure</t>
  </si>
  <si>
    <t xml:space="preserve">lendable_supply, supply_trend, recall_risk, crowding_score</t>
  </si>
  <si>
    <t xml:space="preserve">On-demand (adaptive research)</t>
  </si>
  <si>
    <t xml:space="preserve">Institutional-grade lending data. Accept gap — iBorrowDesk 'available shares' gives partial lendable supply proxy.</t>
  </si>
  <si>
    <t xml:space="preserve">4e</t>
  </si>
  <si>
    <t xml:space="preserve">SqueezeComposite</t>
  </si>
  <si>
    <t xml:space="preserve">squeeze_score, si_acceleration, borrow_stress, short_vol_trend</t>
  </si>
  <si>
    <t xml:space="preserve">On-demand</t>
  </si>
  <si>
    <t xml:space="preserve">Derived from 4a + 4b + 4c</t>
  </si>
  <si>
    <t xml:space="preserve">Derived from 4a + 4c only (without borrow data)</t>
  </si>
  <si>
    <t xml:space="preserve">With iBorrowDesk providing borrow costs, squeeze composite nearly fully computable. Only missing: lendable supply (4d).</t>
  </si>
  <si>
    <t xml:space="preserve">Q5: Fundamentals</t>
  </si>
  <si>
    <t xml:space="preserve">5a-5c</t>
  </si>
  <si>
    <t xml:space="preserve">Fundamentals</t>
  </si>
  <si>
    <t xml:space="preserve">FinancialStatements</t>
  </si>
  <si>
    <t xml:space="preserve">revenue, eps, margins, balance_sheet_items, cash_flow_items</t>
  </si>
  <si>
    <t xml:space="preserve">Quarterly</t>
  </si>
  <si>
    <t xml:space="preserve">SEC EDGAR XBRL (free)</t>
  </si>
  <si>
    <t xml:space="preserve">Alpha Vantage (free, 25 calls/day)</t>
  </si>
  <si>
    <t xml:space="preserve">EDGAR CompanyFacts API provides structured quarterly + annual financials via XBRL. Requires building a parser but data is comprehensive, real-time, and free. Covers 10-K, 10-Q, 8-K filings.</t>
  </si>
  <si>
    <t xml:space="preserve">5d</t>
  </si>
  <si>
    <t xml:space="preserve">EarningsEstimates</t>
  </si>
  <si>
    <t xml:space="preserve">consensus_eps, consensus_rev, revision_trend, estimate_dispersion, guidance</t>
  </si>
  <si>
    <t xml:space="preserve">Daily (cached)</t>
  </si>
  <si>
    <t xml:space="preserve">yfinance estimate endpoints (free)</t>
  </si>
  <si>
    <t xml:space="preserve">Finnhub (premium $11.99/mo for estimates)</t>
  </si>
  <si>
    <t xml:space="preserve">yfinance provides 7 estimate endpoints: get_earnings_estimate (consensus EPS/rev by period), get_eps_trend (revision tracking: current vs 7d/30d/60d/90d ago), get_eps_revisions (up/down counts), get_earnings_history (actual vs estimate + surprise %), get_revenue_estimate, get_growth_estimates, get_analyst_price_targets. Tested: 62/62 valid tickers returned full data in 16.6s. Cache daily + validate actuals via EDGAR XBRL. Risk: Yahoo blocks — mitigate with local cache + polite rate limiting.</t>
  </si>
  <si>
    <t xml:space="preserve">5e</t>
  </si>
  <si>
    <t xml:space="preserve">EarningsCalendar</t>
  </si>
  <si>
    <t xml:space="preserve">report_date, report_time, eps_estimate, revenue_estimate</t>
  </si>
  <si>
    <t xml:space="preserve">Daily check</t>
  </si>
  <si>
    <t xml:space="preserve">Finnhub (free tier)</t>
  </si>
  <si>
    <t xml:space="preserve">Alpha Vantage</t>
  </si>
  <si>
    <t xml:space="preserve">Finnhub free tier covers earnings calendar (dates, times). Estimate data within calendar is basic.</t>
  </si>
  <si>
    <t xml:space="preserve">5f</t>
  </si>
  <si>
    <t xml:space="preserve">AnalystRatings</t>
  </si>
  <si>
    <t xml:space="preserve">rating, price_target, rating_change, consensus_rating</t>
  </si>
  <si>
    <t xml:space="preserve">yfinance</t>
  </si>
  <si>
    <t xml:space="preserve">Finnhub provides basic analyst ratings and price targets on free tier. Less structured than paid alternatives.</t>
  </si>
  <si>
    <t xml:space="preserve">5g</t>
  </si>
  <si>
    <t xml:space="preserve">InsiderTransactions</t>
  </si>
  <si>
    <t xml:space="preserve">transaction_type, shares, price, filing_date, relationship</t>
  </si>
  <si>
    <t xml:space="preserve">SEC EDGAR Form 4 RSS (free)</t>
  </si>
  <si>
    <t xml:space="preserve">Finnhub (free)</t>
  </si>
  <si>
    <t xml:space="preserve">SEC Form 4 filings are free and near real-time from EDGAR RSS feeds. Finnhub also provides parsed insider data.</t>
  </si>
  <si>
    <t xml:space="preserve">Q6: Macro/Rates</t>
  </si>
  <si>
    <t xml:space="preserve">6a</t>
  </si>
  <si>
    <t xml:space="preserve">Macro</t>
  </si>
  <si>
    <t xml:space="preserve">YieldCurve</t>
  </si>
  <si>
    <t xml:space="preserve">yields_by_maturity[], curve_shape, spread_2s10s, real_yield</t>
  </si>
  <si>
    <t xml:space="preserve">Daily+</t>
  </si>
  <si>
    <t xml:space="preserve">FRED (free)</t>
  </si>
  <si>
    <t xml:space="preserve">Treasury Fiscal Data (free)</t>
  </si>
  <si>
    <t xml:space="preserve">Excellent free coverage.</t>
  </si>
  <si>
    <t xml:space="preserve">6b</t>
  </si>
  <si>
    <t xml:space="preserve">FedPolicyExpectations</t>
  </si>
  <si>
    <t xml:space="preserve">target_rate, rate_probabilities[], dot_plot_median, fomc_minutes_date</t>
  </si>
  <si>
    <t xml:space="preserve">FOMC cycle + daily futures</t>
  </si>
  <si>
    <t xml:space="preserve">FRED (free) — derive from fed funds futures</t>
  </si>
  <si>
    <t xml:space="preserve">CME FedWatch web tool (free, manual)</t>
  </si>
  <si>
    <t xml:space="preserve">No FedWatch API ($25/mo deferred). Derive rate probabilities from fed funds futures data.</t>
  </si>
  <si>
    <t xml:space="preserve">6c</t>
  </si>
  <si>
    <t xml:space="preserve">InflationMetrics</t>
  </si>
  <si>
    <t xml:space="preserve">cpi_headline, cpi_core, pce, breakeven_inflation[], inflation_surprise</t>
  </si>
  <si>
    <t xml:space="preserve">Monthly (data release)</t>
  </si>
  <si>
    <t xml:space="preserve">FRED (free) + BLS API (free)</t>
  </si>
  <si>
    <t xml:space="preserve">CPI, PPI, PCE, breakevens all on FRED.</t>
  </si>
  <si>
    <t xml:space="preserve">6d</t>
  </si>
  <si>
    <t xml:space="preserve">GrowthIndicators</t>
  </si>
  <si>
    <t xml:space="preserve">gdp, pmi_mfg, pmi_svc, employment_data, consumer_confidence</t>
  </si>
  <si>
    <t xml:space="preserve">Monthly/quarterly</t>
  </si>
  <si>
    <t xml:space="preserve">Comprehensive free coverage.</t>
  </si>
  <si>
    <t xml:space="preserve">6e</t>
  </si>
  <si>
    <t xml:space="preserve">CreditConditions</t>
  </si>
  <si>
    <t xml:space="preserve">ig_spread, hy_spread, ted_spread, repo_rate, financial_stress_index</t>
  </si>
  <si>
    <t xml:space="preserve">ICE BofA credit spread indices, STLFSI, SOFR all on FRED.</t>
  </si>
  <si>
    <t xml:space="preserve">6f</t>
  </si>
  <si>
    <t xml:space="preserve">CurrencyAndDollar</t>
  </si>
  <si>
    <t xml:space="preserve">dxy, usd_jpy, usd_cny, eur_usd, carry_trade_proxies</t>
  </si>
  <si>
    <t xml:space="preserve">FRED (free) or Polygon Stocks Starter (forex)</t>
  </si>
  <si>
    <t xml:space="preserve">Yahoo Finance</t>
  </si>
  <si>
    <t xml:space="preserve">DXY and major pairs available.</t>
  </si>
  <si>
    <t xml:space="preserve">6g</t>
  </si>
  <si>
    <t xml:space="preserve">MacroEventCalendar</t>
  </si>
  <si>
    <t xml:space="preserve">event_name, datetime, consensus, prior, actual, surprise</t>
  </si>
  <si>
    <t xml:space="preserve">Economic calendar from Finnhub free tier.</t>
  </si>
  <si>
    <t xml:space="preserve">Q7: Cross-Asset</t>
  </si>
  <si>
    <t xml:space="preserve">7a-7g</t>
  </si>
  <si>
    <t xml:space="preserve">CrossAssetCorrelation</t>
  </si>
  <si>
    <t xml:space="preserve">rolling_correlation, regime_label, lead_lag_estimate, dispersion, narrative_lag_flag</t>
  </si>
  <si>
    <t xml:space="preserve">Computed from cats 1, 6, 8, 11</t>
  </si>
  <si>
    <t xml:space="preserve">100% derived locally.</t>
  </si>
  <si>
    <t xml:space="preserve">Q8: Commodities</t>
  </si>
  <si>
    <t xml:space="preserve">8a</t>
  </si>
  <si>
    <t xml:space="preserve">Commodities</t>
  </si>
  <si>
    <t xml:space="preserve">CrudeOil</t>
  </si>
  <si>
    <t xml:space="preserve">wti_spot, brent_spot, futures_curve[], wti_brent_spread, eia_inventory</t>
  </si>
  <si>
    <t xml:space="preserve">Weekly (EIA Wed) + daily prices</t>
  </si>
  <si>
    <t xml:space="preserve">EIA (free) + Polygon Stocks Starter or Yahoo Finance</t>
  </si>
  <si>
    <t xml:space="preserve">FRED for some series</t>
  </si>
  <si>
    <t xml:space="preserve">EIA weekly reports free. Crude prices widely available.</t>
  </si>
  <si>
    <t xml:space="preserve">8b</t>
  </si>
  <si>
    <t xml:space="preserve">NaturalGas</t>
  </si>
  <si>
    <t xml:space="preserve">henry_hub_spot, futures_curve, eia_storage, weather_hdd_cdd, lng_export_vol</t>
  </si>
  <si>
    <t xml:space="preserve">Weekly (EIA Thu) + daily prices</t>
  </si>
  <si>
    <t xml:space="preserve">EIA (free) + Yahoo Finance / Polygon</t>
  </si>
  <si>
    <t xml:space="preserve">FRED</t>
  </si>
  <si>
    <t xml:space="preserve">EIA reports free, prices widely available.</t>
  </si>
  <si>
    <t xml:space="preserve">8c</t>
  </si>
  <si>
    <t xml:space="preserve">IndustrialMetals</t>
  </si>
  <si>
    <t xml:space="preserve">copper_spot, aluminum_spot, copper_gold_ratio, lme_inventory</t>
  </si>
  <si>
    <t xml:space="preserve">Yahoo Finance (free) or Polygon Stocks Starter</t>
  </si>
  <si>
    <t xml:space="preserve">FRED (some series)</t>
  </si>
  <si>
    <t xml:space="preserve">Spot prices available. LME inventory harder — may need scraping.</t>
  </si>
  <si>
    <t xml:space="preserve">8d</t>
  </si>
  <si>
    <t xml:space="preserve">PreciousMetals</t>
  </si>
  <si>
    <t xml:space="preserve">gold_spot, silver_spot, gold_silver_ratio, gld_etf_flows</t>
  </si>
  <si>
    <t xml:space="preserve">Yahoo Finance (free) or FRED</t>
  </si>
  <si>
    <t xml:space="preserve">Polygon</t>
  </si>
  <si>
    <t xml:space="preserve">Gold and silver prices widely available.</t>
  </si>
  <si>
    <t xml:space="preserve">8e</t>
  </si>
  <si>
    <t xml:space="preserve">CrackSpreads</t>
  </si>
  <si>
    <t xml:space="preserve">gasoline_crack, diesel_crack, three_two_one, gasoline_demand</t>
  </si>
  <si>
    <t xml:space="preserve">Weekly</t>
  </si>
  <si>
    <t xml:space="preserve">Derived from 8a + EIA product prices</t>
  </si>
  <si>
    <t xml:space="preserve">Computable from crude + product prices.</t>
  </si>
  <si>
    <t xml:space="preserve">8f</t>
  </si>
  <si>
    <t xml:space="preserve">CommodityPositioning</t>
  </si>
  <si>
    <t xml:space="preserve">cot_commercial, cot_speculative, spec_positioning_percentile, commodity_etf_flows</t>
  </si>
  <si>
    <t xml:space="preserve">Weekly (COT Fri)</t>
  </si>
  <si>
    <t xml:space="preserve">CFTC (free) — API now available via PRE</t>
  </si>
  <si>
    <t xml:space="preserve">Quandl/Nasdaq Data Link</t>
  </si>
  <si>
    <t xml:space="preserve">COT reports free. CFTC Public Reporting Environment has an API (no token needed).</t>
  </si>
  <si>
    <t xml:space="preserve">Q11: Volatility</t>
  </si>
  <si>
    <t xml:space="preserve">11a-11c</t>
  </si>
  <si>
    <t xml:space="preserve">Volatility</t>
  </si>
  <si>
    <t xml:space="preserve">VolatilityRegime</t>
  </si>
  <si>
    <t xml:space="preserve">vix, vix_percentile, vix_roc, vvix, skew, term_structure[], contango_backwardation</t>
  </si>
  <si>
    <t xml:space="preserve">FRED (VIX free) + CBOE delayed</t>
  </si>
  <si>
    <t xml:space="preserve">Yahoo Finance for VIX futures</t>
  </si>
  <si>
    <t xml:space="preserve">VIX on FRED. VVIX/SKEW on CBOE (delayed). VIX futures from Yahoo Finance.</t>
  </si>
  <si>
    <t xml:space="preserve">11d-11e</t>
  </si>
  <si>
    <t xml:space="preserve">VolatilityAnalytics</t>
  </si>
  <si>
    <t xml:space="preserve">rv_10d, rv_20d, risk_premium, vix_skew_combo</t>
  </si>
  <si>
    <t xml:space="preserve">Derived from 11a-11c + SPX OHLCV</t>
  </si>
  <si>
    <t xml:space="preserve">Realized vol from SPX prices. Risk premium = VIX - RV. All derivable.</t>
  </si>
  <si>
    <t xml:space="preserve">11f</t>
  </si>
  <si>
    <t xml:space="preserve">VolRegimeClassification</t>
  </si>
  <si>
    <t xml:space="preserve">regime_label, transition_flag, confidence</t>
  </si>
  <si>
    <t xml:space="preserve">Derived from 11a-11e</t>
  </si>
  <si>
    <t xml:space="preserve">Composite classification — pure distillation logic.</t>
  </si>
  <si>
    <t xml:space="preserve">Q12: Corp Actions</t>
  </si>
  <si>
    <t xml:space="preserve">12a</t>
  </si>
  <si>
    <t xml:space="preserve">Corporate Events</t>
  </si>
  <si>
    <t xml:space="preserve">IndexRebalance</t>
  </si>
  <si>
    <t xml:space="preserve">event_type, affected_ticker, index, estimated_flow, rebalance_date</t>
  </si>
  <si>
    <t xml:space="preserve">Event-driven</t>
  </si>
  <si>
    <t xml:space="preserve">Index provider announcements + Finnhub</t>
  </si>
  <si>
    <t xml:space="preserve">SEC EDGAR, financial news APIs</t>
  </si>
  <si>
    <t xml:space="preserve">S&amp;P, NASDAQ announce changes publicly.</t>
  </si>
  <si>
    <t xml:space="preserve">12b</t>
  </si>
  <si>
    <t xml:space="preserve">BuybackProgram</t>
  </si>
  <si>
    <t xml:space="preserve">authorization_size, remaining, blackout_start, blackout_end, execution_pace</t>
  </si>
  <si>
    <t xml:space="preserve">SEC EDGAR (10-Q/10-K free)</t>
  </si>
  <si>
    <t xml:space="preserve">Earnings transcript extraction</t>
  </si>
  <si>
    <t xml:space="preserve">Authorization from filings. Blackout windows from earnings calendar.</t>
  </si>
  <si>
    <t xml:space="preserve">12c</t>
  </si>
  <si>
    <t xml:space="preserve">RegulatoryFiling</t>
  </si>
  <si>
    <t xml:space="preserve">filing_type, filing_date, filer, subject_ticker, event_classification</t>
  </si>
  <si>
    <t xml:space="preserve">Real-time</t>
  </si>
  <si>
    <t xml:space="preserve">SEC EDGAR RSS feeds (free)</t>
  </si>
  <si>
    <t xml:space="preserve">Finnhub</t>
  </si>
  <si>
    <t xml:space="preserve">EDGAR RSS feeds update within seconds.</t>
  </si>
  <si>
    <t xml:space="preserve">12d</t>
  </si>
  <si>
    <t xml:space="preserve">InvestorEventCalendar</t>
  </si>
  <si>
    <t xml:space="preserve">event_type, company, date, venue, novelty_flag</t>
  </si>
  <si>
    <t xml:space="preserve">Weekly check</t>
  </si>
  <si>
    <t xml:space="preserve">Company IR pages (manual)</t>
  </si>
  <si>
    <t xml:space="preserve">Finnhub has IPO calendar, FDA calendar, company peers. Full coverage requires manual maintenance.</t>
  </si>
  <si>
    <t xml:space="preserve">12e</t>
  </si>
  <si>
    <t xml:space="preserve">LockupSecondaryCalendar</t>
  </si>
  <si>
    <t xml:space="preserve">ticker, lockup_date, insider_ownership_pct, ipo_performance, secondary_date</t>
  </si>
  <si>
    <t xml:space="preserve">SEC EDGAR S-1/S-3 filings (free)</t>
  </si>
  <si>
    <t xml:space="preserve">Finnhub IPO calendar</t>
  </si>
  <si>
    <t xml:space="preserve">Lock-up dates from S-1, secondaries from S-3 filings.</t>
  </si>
  <si>
    <t xml:space="preserve">12f</t>
  </si>
  <si>
    <t xml:space="preserve">ETFFlowImpact</t>
  </si>
  <si>
    <t xml:space="preserve">etf_creation_redemption, etf_driven_volume_pct, flow_divergence_flag</t>
  </si>
  <si>
    <t xml:space="preserve">Derived from ETF volume + NAV</t>
  </si>
  <si>
    <t xml:space="preserve">Yahoo Finance ETF data</t>
  </si>
  <si>
    <t xml:space="preserve">ETF flow estimation from creation/redemption units.</t>
  </si>
  <si>
    <t xml:space="preserve">Qual 1: News</t>
  </si>
  <si>
    <t xml:space="preserve">News</t>
  </si>
  <si>
    <t xml:space="preserve">BreakingHeadline</t>
  </si>
  <si>
    <t xml:space="preserve">headline, source, datetime, ticker_mentions[], credibility_tier, sentiment_tag</t>
  </si>
  <si>
    <t xml:space="preserve">Continuous</t>
  </si>
  <si>
    <t xml:space="preserve">Finnhub News (free) + Marketaux (free, 100 req/day) + RSS feeds (CNBC/Reuters/MarketWatch)</t>
  </si>
  <si>
    <t xml:space="preserve">Benzinga ($50-200/mo for wire-speed)</t>
  </si>
  <si>
    <t xml:space="preserve">Multi-source news pipeline: (1) Finnhub free tier for basic financial news, (2) Marketaux free tier — 100 req/day, 3 articles/request, includes pre-computed sentiment + entity extraction, (3) RSS feeds from CNBC, Reuters, MarketWatch for breaking headlines, (4) SEC EDGAR 8-K RSS for material event filings. Credibility tiering is distillation logic.</t>
  </si>
  <si>
    <t xml:space="preserve">LongFormAnalysis</t>
  </si>
  <si>
    <t xml:space="preserve">title, source, datetime, tickers[], summary, directional_call</t>
  </si>
  <si>
    <t xml:space="preserve">Finnhub + Zacks free research reports + finance Substacks + OpenBB Terminal</t>
  </si>
  <si>
    <t xml:space="preserve">SemiAnalysis (~$30/mo for semis)</t>
  </si>
  <si>
    <t xml:space="preserve">Sell-side research paywalled. Free alternatives: (1) Zacks publishes free research reports with buy/hold/sell ratings and price targets, (2) finance Substacks (Kyla Scanlon, The Diff, etc.) for macro/strategy, (3) OpenBB Terminal (open source) aggregates multiple free sources. Capture publicly visible summaries + LLM distillation.</t>
  </si>
  <si>
    <t xml:space="preserve">Qual 2: Sentiment</t>
  </si>
  <si>
    <t xml:space="preserve">Sentiment</t>
  </si>
  <si>
    <t xml:space="preserve">SocialSentimentScore</t>
  </si>
  <si>
    <t xml:space="preserve">ticker, score, magnitude, confidence, rate_of_change, volume, percentile</t>
  </si>
  <si>
    <t xml:space="preserve">StockTwits API (free)</t>
  </si>
  <si>
    <t xml:space="preserve">Finnhub sentiment</t>
  </si>
  <si>
    <t xml:space="preserve">Aggregated sentiment from StockTwits. Calibrated percentiles are distillation logic.</t>
  </si>
  <si>
    <t xml:space="preserve">AlternativeSentimentProxy</t>
  </si>
  <si>
    <t xml:space="preserve">google_trends_score, retail_brokerage_flow</t>
  </si>
  <si>
    <t xml:space="preserve">Google Trends official API (free, 1500 req/day)</t>
  </si>
  <si>
    <t xml:space="preserve">pytrends (unofficial, fragile)</t>
  </si>
  <si>
    <t xml:space="preserve">Google launched official Trends API in 2025. 1,500 req/day, production-grade. Much better than pytrends.</t>
  </si>
  <si>
    <t xml:space="preserve">OptionsFlowNarrative</t>
  </si>
  <si>
    <t xml:space="preserve">unusual_activity_reports[], options_narrative_sentiment, earnings_positioning_commentary</t>
  </si>
  <si>
    <t xml:space="preserve">Derived from local options analytics (3b) + news API sweep</t>
  </si>
  <si>
    <t xml:space="preserve">Financial media sweep</t>
  </si>
  <si>
    <t xml:space="preserve">Pre-computed narrative requires UW ($125/mo). Derive from 3b detection + financial media.</t>
  </si>
  <si>
    <t xml:space="preserve">Qual 3: Prediction Mkts</t>
  </si>
  <si>
    <t xml:space="preserve">3a-3c</t>
  </si>
  <si>
    <t xml:space="preserve">Prediction Markets</t>
  </si>
  <si>
    <t xml:space="preserve">PredictionMarketOdds</t>
  </si>
  <si>
    <t xml:space="preserve">contract_id, outcome, probability, volume, delta_since_last</t>
  </si>
  <si>
    <t xml:space="preserve">Polymarket API (free) + Kalshi API (free)</t>
  </si>
  <si>
    <t xml:space="preserve">Metaculus (free)</t>
  </si>
  <si>
    <t xml:space="preserve">Both free. Polymarket: 300 req/10s. Kalshi: CFTC-regulated, 3500+ markets.</t>
  </si>
  <si>
    <t xml:space="preserve">Qual 4: Earnings Commentary</t>
  </si>
  <si>
    <t xml:space="preserve">4a-4b</t>
  </si>
  <si>
    <t xml:space="preserve">Earnings Analysis</t>
  </si>
  <si>
    <t xml:space="preserve">EarningsTranscript</t>
  </si>
  <si>
    <t xml:space="preserve">ticker, date, prepared_remarks, qa_text, tone_signals[], non_answer_flags[]</t>
  </si>
  <si>
    <t xml:space="preserve">Motley Fool transcripts (free, &lt;24hr) + Quartr (~95% coverage) + YouTube/Whisper fallback</t>
  </si>
  <si>
    <t xml:space="preserve">FMP Ultimate ($149/mo)</t>
  </si>
  <si>
    <t xml:space="preserve">Multi-source transcript pipeline: (1) Motley Fool — free, publishes most S&amp;P 500 + large-cap transcripts within 24 hours of earnings calls, (2) Quartr — free access to ~95% of public company transcripts, well-structured, (3) YouTube + Whisper fallback — most companies webcast earnings on YouTube, transcribe with OpenAI Whisper for 100% coverage. Build scraper for primary sources + Whisper pipeline for gaps.</t>
  </si>
  <si>
    <t xml:space="preserve">4c-4d</t>
  </si>
  <si>
    <t xml:space="preserve">CrossCompanyEarningsIntel</t>
  </si>
  <si>
    <t xml:space="preserve">bellwether_reads[], supply_chain_commentary[], guidance_consensus, season_momentum</t>
  </si>
  <si>
    <t xml:space="preserve">Derived from 4a-4b across universe</t>
  </si>
  <si>
    <t xml:space="preserve">Cross-company intelligence is analysis layer output.</t>
  </si>
  <si>
    <t xml:space="preserve">ConferencePresentation</t>
  </si>
  <si>
    <t xml:space="preserve">company, event, date, key_takeaways[], market_reaction</t>
  </si>
  <si>
    <t xml:space="preserve">SEC EDGAR 8-K Item 7.01 + company IR event calendars + Finnhub</t>
  </si>
  <si>
    <t xml:space="preserve">Manual monitoring</t>
  </si>
  <si>
    <t xml:space="preserve">SEC EDGAR 8-K Item 7.01 (Regulation FD Disclosure) captures material conference presentations filed as exhibits. Company IR pages publish event calendars with dates/times. Finnhub events as supplement. Coverage: ~70% of material conferences for our 65-ticker universe via automated 8-K monitoring.</t>
  </si>
  <si>
    <t xml:space="preserve">Qual 5: Regulatory</t>
  </si>
  <si>
    <t xml:space="preserve">5a</t>
  </si>
  <si>
    <t xml:space="preserve">Regulatory</t>
  </si>
  <si>
    <t xml:space="preserve">FedCommunication</t>
  </si>
  <si>
    <t xml:space="preserve">speaker, event_type, date, hawkish_dovish_score, key_phrases[], policy_signal</t>
  </si>
  <si>
    <t xml:space="preserve">FOMC cycle + ad hoc</t>
  </si>
  <si>
    <t xml:space="preserve">FRED (rate data) + Fed website + Finnhub news</t>
  </si>
  <si>
    <t xml:space="preserve">Rate decisions from FRED. Statement text from Fed website (free).</t>
  </si>
  <si>
    <t xml:space="preserve">5b-5d</t>
  </si>
  <si>
    <t xml:space="preserve">RegulatoryEvent</t>
  </si>
  <si>
    <t xml:space="preserve">agency, action_type, affected_entities[], date, severity, sector_impact</t>
  </si>
  <si>
    <t xml:space="preserve">SEC EDGAR (free) + Federal Register (free) + news APIs</t>
  </si>
  <si>
    <t xml:space="preserve">SEC and federal regulatory actions from EDGAR/Federal Register.</t>
  </si>
  <si>
    <t xml:space="preserve">PolicyEventCalendar</t>
  </si>
  <si>
    <t xml:space="preserve">event_name, date, type, expected_impact, clustering_flag</t>
  </si>
  <si>
    <t xml:space="preserve">Finnhub economic calendar (free)</t>
  </si>
  <si>
    <t xml:space="preserve">Economic calendar from Finnhub. FOMC, OPEC dates public.</t>
  </si>
  <si>
    <t xml:space="preserve">Qual 6: Sector Catalysts</t>
  </si>
  <si>
    <t xml:space="preserve">Sector Intelligence</t>
  </si>
  <si>
    <t xml:space="preserve">TechSemiCatalyst</t>
  </si>
  <si>
    <t xml:space="preserve">catalyst_type, source, affected_tickers[], narrative_summary, confidence</t>
  </si>
  <si>
    <t xml:space="preserve">SIA monthly sales (free) + SEMI equipment data (free) + DigiTimes (mostly free) + BIS export controls (free gov) + HPCwire/Tom's Hardware RSS</t>
  </si>
  <si>
    <t xml:space="preserve">SemiAnalysis (~$30/mo), TechInsights (expensive)</t>
  </si>
  <si>
    <t xml:space="preserve">Free semi intel pipeline: (1) SIA publishes monthly global semiconductor sales data (free), (2) SEMI publishes quarterly equipment sales + fab construction forecasts (free reports), (3) DigiTimes — mostly free supply chain news with some premium articles, (4) BIS export control announcements (free government source — critical for China/AI chip restrictions), (5) HPCwire + Tom's Hardware RSS for HPC/datacenter/consumer hardware. Upgraded from LOW-MEDIUM to MEDIUM with structured free sources.</t>
  </si>
  <si>
    <t xml:space="preserve">EnergyCatalyst</t>
  </si>
  <si>
    <t xml:space="preserve">EIA (free) + news APIs + OPEC website</t>
  </si>
  <si>
    <t xml:space="preserve">Argus, Platts (expensive)</t>
  </si>
  <si>
    <t xml:space="preserve">EIA data free. OPEC decisions public.</t>
  </si>
  <si>
    <t xml:space="preserve">FinancialsCatalyst</t>
  </si>
  <si>
    <t xml:space="preserve">FRED (free) + news APIs + SEC EDGAR</t>
  </si>
  <si>
    <t xml:space="preserve">American Banker (paid)</t>
  </si>
  <si>
    <t xml:space="preserve">Credit conditions from FRED, regulatory filings from EDGAR — free.</t>
  </si>
  <si>
    <t xml:space="preserve">Data Source</t>
  </si>
  <si>
    <t xml:space="preserve">Category</t>
  </si>
  <si>
    <t xml:space="preserve">Tier / Plan</t>
  </si>
  <si>
    <t xml:space="preserve">Monthly Cost</t>
  </si>
  <si>
    <t xml:space="preserve">In Stack?</t>
  </si>
  <si>
    <t xml:space="preserve">Authentication</t>
  </si>
  <si>
    <t xml:space="preserve">Rate Limits</t>
  </si>
  <si>
    <t xml:space="preserve">Data Freshness / Delay</t>
  </si>
  <si>
    <t xml:space="preserve">Key Endpoints (representative)</t>
  </si>
  <si>
    <t xml:space="preserve">Key Data Provided</t>
  </si>
  <si>
    <t xml:space="preserve">Categories Served (from spec)</t>
  </si>
  <si>
    <t xml:space="preserve">Limitations</t>
  </si>
  <si>
    <t xml:space="preserve">URL</t>
  </si>
  <si>
    <t xml:space="preserve">Polygon Stocks Starter</t>
  </si>
  <si>
    <t xml:space="preserve">Equities / Market Data</t>
  </si>
  <si>
    <t xml:space="preserve">Stocks Starter</t>
  </si>
  <si>
    <t xml:space="preserve">$29/mo</t>
  </si>
  <si>
    <t xml:space="preserve">YES — CORE</t>
  </si>
  <si>
    <t xml:space="preserve">API key</t>
  </si>
  <si>
    <t xml:space="preserve">Unlimited REST (~100/sec soft), 3 WS connections</t>
  </si>
  <si>
    <t xml:space="preserve">Real-time aggregates; 15-min delayed quotes</t>
  </si>
  <si>
    <t xml:space="preserve">/v3/aggs/ticker/{ticker}/range/{mult}/{timespan}/{from}/{to}, WS: aggs/trades</t>
  </si>
  <si>
    <t xml:space="preserve">OHLCV bars (1min–weekly), last trade/quote, snapshots, reference data, dividends, splits, extended hours bars, 5yr history</t>
  </si>
  <si>
    <t xml:space="preserve">Q1 (all), Q1g, Q6f (forex), Q8 (commodity tickers)</t>
  </si>
  <si>
    <t xml:space="preserve">No real-time individual quotes. No tick-level trades. Options data requires separate subscription. 20% discount on annual billing (~$23.20/mo effective).</t>
  </si>
  <si>
    <t xml:space="preserve">https://polygon.io/pricing</t>
  </si>
  <si>
    <t xml:space="preserve">Polygon Options Starter</t>
  </si>
  <si>
    <t xml:space="preserve">Options / Derivatives</t>
  </si>
  <si>
    <t xml:space="preserve">Options Starter</t>
  </si>
  <si>
    <t xml:space="preserve">API key (same account)</t>
  </si>
  <si>
    <t xml:space="preserve">Same as Stocks subscription</t>
  </si>
  <si>
    <t xml:space="preserve">Real-time greeks + IV; daily OI; chain snapshots</t>
  </si>
  <si>
    <t xml:space="preserve">/v3/snapshot/options/{underlying}, /v3/reference/options/contracts</t>
  </si>
  <si>
    <t xml:space="preserve">Options chains with greeks (delta/gamma/theta/vega/rho), IV per contract, daily OI, chain snapshots, websocket streams</t>
  </si>
  <si>
    <t xml:space="preserve">Q3a (IV surface), Q3c (OI), Q3d (GEX—derived), Q3e (implied move), Q3f (P/C dynamics), Q3g-h (partial)</t>
  </si>
  <si>
    <t xml:space="preserve">No individual options trades (needs Options Developer $79/mo). Only 2yr history (vs 5yr for Stocks). 20% discount on annual billing (~$23.20/mo effective).</t>
  </si>
  <si>
    <t xml:space="preserve">FRED API</t>
  </si>
  <si>
    <t xml:space="preserve">Government / Macro</t>
  </si>
  <si>
    <t xml:space="preserve">Free</t>
  </si>
  <si>
    <t xml:space="preserve">$0</t>
  </si>
  <si>
    <t xml:space="preserve">YES</t>
  </si>
  <si>
    <t xml:space="preserve">API key (free registration)</t>
  </si>
  <si>
    <t xml:space="preserve">120 req/min</t>
  </si>
  <si>
    <t xml:space="preserve">Updated on release schedule</t>
  </si>
  <si>
    <t xml:space="preserve">/series/observations?series_id={id}</t>
  </si>
  <si>
    <t xml:space="preserve">Yield curves, CPI/PPI/PCE, GDP, employment, credit spreads (ICE BofA), VIX (VIXCLS), DXY, fed funds rate, STLFSI, SOFR, breakevens, money supply</t>
  </si>
  <si>
    <t xml:space="preserve">Q6 (all), Q7 (partial), Q8d (gold), Q11a (VIX)</t>
  </si>
  <si>
    <t xml:space="preserve">No intraday data. Monthly/quarterly release cadence.</t>
  </si>
  <si>
    <t xml:space="preserve">https://fred.stlouisfed.org/docs/api/fred/</t>
  </si>
  <si>
    <t xml:space="preserve">BLS API v2</t>
  </si>
  <si>
    <t xml:space="preserve">500 req/day, 50 req/10sec</t>
  </si>
  <si>
    <t xml:space="preserve">Released on schedule</t>
  </si>
  <si>
    <t xml:space="preserve">/timeseries/{seriesid}</t>
  </si>
  <si>
    <t xml:space="preserve">Employment (CES, LAUS), CPI detail, PPI detail, wages</t>
  </si>
  <si>
    <t xml:space="preserve">Q6d (employment detail)</t>
  </si>
  <si>
    <t xml:space="preserve">50 series per query, 20yr max per query. Supplements FRED.</t>
  </si>
  <si>
    <t xml:space="preserve">https://www.bls.gov/developers/</t>
  </si>
  <si>
    <t xml:space="preserve">EIA API</t>
  </si>
  <si>
    <t xml:space="preserve">Government / Energy</t>
  </si>
  <si>
    <t xml:space="preserve">~9K req/hr, 5 req/sec</t>
  </si>
  <si>
    <t xml:space="preserve">Weekly (petroleum Wed, gas Thu)</t>
  </si>
  <si>
    <t xml:space="preserve">/series/{id}/data/</t>
  </si>
  <si>
    <t xml:space="preserve">Crude inventory, natural gas storage, production, consumption, product prices, refinery utilization, LNG exports. Also: electricity, nuclear, renewables.</t>
  </si>
  <si>
    <t xml:space="preserve">Q8a, Q8b, Q8e, Qual 6b</t>
  </si>
  <si>
    <t xml:space="preserve">No intraday. Weekly cadence. API v2.1.11 current.</t>
  </si>
  <si>
    <t xml:space="preserve">https://www.eia.gov/opendata/</t>
  </si>
  <si>
    <t xml:space="preserve">Treasury Fiscal Data</t>
  </si>
  <si>
    <t xml:space="preserve">Government / Rates</t>
  </si>
  <si>
    <t xml:space="preserve">None</t>
  </si>
  <si>
    <t xml:space="preserve">Generous (not specified)</t>
  </si>
  <si>
    <t xml:space="preserve">Daily for yield curves</t>
  </si>
  <si>
    <t xml:space="preserve">/v1/accounting/od/auctions_data</t>
  </si>
  <si>
    <t xml:space="preserve">Treasury auction results, daily yield curve, debt data, exchange rates. 177+ datasets.</t>
  </si>
  <si>
    <t xml:space="preserve">Q6a</t>
  </si>
  <si>
    <t xml:space="preserve">Limited to Treasury-specific data.</t>
  </si>
  <si>
    <t xml:space="preserve">https://fiscaldata.treasury.gov/api-documentation/</t>
  </si>
  <si>
    <t xml:space="preserve">SEC EDGAR</t>
  </si>
  <si>
    <t xml:space="preserve">Government / Filings + Fundamentals</t>
  </si>
  <si>
    <t xml:space="preserve">None (User-Agent header)</t>
  </si>
  <si>
    <t xml:space="preserve">10 req/sec</t>
  </si>
  <si>
    <t xml:space="preserve">Near real-time (&lt;1 sec)</t>
  </si>
  <si>
    <t xml:space="preserve">/api/xbrl/companyfacts/CIK{cik}.json, /api/xbrl/frames/, RSS feeds, EFTS full-text search</t>
  </si>
  <si>
    <t xml:space="preserve">XBRL quarterly + annual financials (structured), 10-K/10-Q/8-K filings, insider tx (Form 4), 13D/13F, proxy filings. Bulk nightly updates 3 AM ET.</t>
  </si>
  <si>
    <t xml:space="preserve">Q5a-5c (XBRL financials), Q5g (insider tx), Q12b-c-e (filings), Qual 5b (regulatory)</t>
  </si>
  <si>
    <t xml:space="preserve">Requires building XBRL parser. No pre-computed analytics or estimates. Raw filings need NLP for unstructured content.</t>
  </si>
  <si>
    <t xml:space="preserve">https://www.sec.gov/search-filings/edgar-application-programming-interfaces</t>
  </si>
  <si>
    <t xml:space="preserve">CFTC COT Reports</t>
  </si>
  <si>
    <t xml:space="preserve">Government / Positioning</t>
  </si>
  <si>
    <t xml:space="preserve">None (API via PRE now available)</t>
  </si>
  <si>
    <t xml:space="preserve">Within usage limits (unspecified)</t>
  </si>
  <si>
    <t xml:space="preserve">Weekly (Fri 3:30 PM ET for prior Tue)</t>
  </si>
  <si>
    <t xml:space="preserve">Public Reporting Environment API + bulk CSV download</t>
  </si>
  <si>
    <t xml:space="preserve">Commitments of Traders: Legacy, Supplemental, Disaggregated, TFF reports. Commercial vs speculative positioning.</t>
  </si>
  <si>
    <t xml:space="preserve">Q3c (index futures), Q8f (commodities)</t>
  </si>
  <si>
    <t xml:space="preserve">Weekly only, ~3 day lag. 4 report types available.</t>
  </si>
  <si>
    <t xml:space="preserve">https://www.cftc.gov/MarketReports/CommitmentsofTraders/index.htm</t>
  </si>
  <si>
    <t xml:space="preserve">FINRA Short Data</t>
  </si>
  <si>
    <t xml:space="preserve">Government / Short Selling</t>
  </si>
  <si>
    <t xml:space="preserve">N/A (file download or FTP)</t>
  </si>
  <si>
    <t xml:space="preserve">SI: bi-monthly (~10d lag). Short vol: daily (next biz day).</t>
  </si>
  <si>
    <t xml:space="preserve">Bulk file download / subscription FTP</t>
  </si>
  <si>
    <t xml:space="preserve">Short interest by ticker, daily short sale volume</t>
  </si>
  <si>
    <t xml:space="preserve">Q4a (SI), Q4c (short volume)</t>
  </si>
  <si>
    <t xml:space="preserve">Bi-monthly SI is stale. Short volume is daily/timely. No borrow cost data.</t>
  </si>
  <si>
    <t xml:space="preserve">https://www.finra.org/finra-data/browse-catalog/short-interest</t>
  </si>
  <si>
    <t xml:space="preserve">FINRA ATS Transparency</t>
  </si>
  <si>
    <t xml:space="preserve">Government / Dark Pool</t>
  </si>
  <si>
    <t xml:space="preserve">N/A (weekly file)</t>
  </si>
  <si>
    <t xml:space="preserve">Weekly, ~2 week lag</t>
  </si>
  <si>
    <t xml:space="preserve">OTC Transparency website / data download</t>
  </si>
  <si>
    <t xml:space="preserve">Dark pool venue-level volume by ticker per ATS (weekly aggregates)</t>
  </si>
  <si>
    <t xml:space="preserve">Q2c (dark pool volume)</t>
  </si>
  <si>
    <t xml:space="preserve">Weekly delayed. Not real-time. Venue attribution available but lagged.</t>
  </si>
  <si>
    <t xml:space="preserve">https://www.finra.org/finra-data/browse-catalog/alternative-trading-system-ats-transparency-data-otc</t>
  </si>
  <si>
    <t xml:space="preserve">Alpaca Markets</t>
  </si>
  <si>
    <t xml:space="preserve">Market Data + Brokerage</t>
  </si>
  <si>
    <t xml:space="preserve">Free (no deposit required)</t>
  </si>
  <si>
    <t xml:space="preserve">YES (backup)</t>
  </si>
  <si>
    <t xml:space="preserve">API key (paper trading account)</t>
  </si>
  <si>
    <t xml:space="preserve">200 req/min</t>
  </si>
  <si>
    <t xml:space="preserve">Real-time IEX; SIP requires paid</t>
  </si>
  <si>
    <t xml:space="preserve">/v2/stocks/{ticker}/bars, WS: 30 channels + 1 conn</t>
  </si>
  <si>
    <t xml:space="preserve">OHLCV bars, trades, quotes (IEX ~10% market), 5yr+ history</t>
  </si>
  <si>
    <t xml:space="preserve">Q1 (backup), execution layer (paper trading)</t>
  </si>
  <si>
    <t xml:space="preserve">IEX-only data (single exchange) on free tier. Good paper trading sandbox.</t>
  </si>
  <si>
    <t xml:space="preserve">https://docs.alpaca.markets/</t>
  </si>
  <si>
    <t xml:space="preserve">Multi-purpose</t>
  </si>
  <si>
    <t xml:space="preserve">Free tier</t>
  </si>
  <si>
    <t xml:space="preserve">60 calls/min</t>
  </si>
  <si>
    <t xml:space="preserve">Real-time quotes, delayed news</t>
  </si>
  <si>
    <t xml:space="preserve">/stock/candle, /news, /calendar/earnings, /stock/insider-transactions</t>
  </si>
  <si>
    <t xml:space="preserve">Financial news, earnings calendar, insider tx, SEC filings, economic calendar, basic analyst ratings, IPO calendar, FDA calendar, company peers</t>
  </si>
  <si>
    <t xml:space="preserve">Q5e (earnings cal), Q5f (ratings), Q6g (macro cal), Q12d (events), Qual 1a (news), Qual 5e (policy cal)</t>
  </si>
  <si>
    <t xml:space="preserve">Rate-limited but workable for 65 tickers. Earnings estimates/consensus are PREMIUM only ($11.99+/mo). Free tier = calendars + news + basic data.</t>
  </si>
  <si>
    <t xml:space="preserve">https://finnhub.io/</t>
  </si>
  <si>
    <t xml:space="preserve">StockTwits API</t>
  </si>
  <si>
    <t xml:space="preserve">Social Sentiment</t>
  </si>
  <si>
    <t xml:space="preserve">~60 calls/min (unofficial)</t>
  </si>
  <si>
    <t xml:space="preserve">/api/2/streams/symbol/{ticker}.json</t>
  </si>
  <si>
    <t xml:space="preserve">Per-ticker social sentiment, message volume, trending tickers, bullish/bearish signals</t>
  </si>
  <si>
    <t xml:space="preserve">Qual 2a</t>
  </si>
  <si>
    <t xml:space="preserve">Basic sentiment. No calibrated scores.</t>
  </si>
  <si>
    <t xml:space="preserve">https://api-docs.stocktwits.com/</t>
  </si>
  <si>
    <t xml:space="preserve">Google Trends API</t>
  </si>
  <si>
    <t xml:space="preserve">Alternative Sentiment</t>
  </si>
  <si>
    <t xml:space="preserve">Free (official 2025 API)</t>
  </si>
  <si>
    <t xml:space="preserve">1,500 req/day (official API)</t>
  </si>
  <si>
    <t xml:space="preserve">Varies (hours to days lag)</t>
  </si>
  <si>
    <t xml:space="preserve">Official Google Trends API</t>
  </si>
  <si>
    <t xml:space="preserve">Search interest by keyword, related queries, geographic breakdown. Production-grade since 2025.</t>
  </si>
  <si>
    <t xml:space="preserve">Qual 2b</t>
  </si>
  <si>
    <t xml:space="preserve">Official API much more reliable than pytrends (unofficial). 1,500 req/day covers 65-ticker universe.</t>
  </si>
  <si>
    <t xml:space="preserve">https://trends.google.com/</t>
  </si>
  <si>
    <t xml:space="preserve">Polymarket API</t>
  </si>
  <si>
    <t xml:space="preserve">None (read-only)</t>
  </si>
  <si>
    <t xml:space="preserve">300 req/10s (Gamma), 9000 req/10s (CLOB)</t>
  </si>
  <si>
    <t xml:space="preserve">CLOB API (/books), Gamma API (/markets)</t>
  </si>
  <si>
    <t xml:space="preserve">Market odds, order books, historical prices, event metadata. WS streaming available.</t>
  </si>
  <si>
    <t xml:space="preserve">Qual 3a-3c</t>
  </si>
  <si>
    <t xml:space="preserve">Good FOMC/regulatory/geopolitical coverage. Generous rate limits.</t>
  </si>
  <si>
    <t xml:space="preserve">https://docs.polymarket.com/</t>
  </si>
  <si>
    <t xml:space="preserve">Kalshi API</t>
  </si>
  <si>
    <t xml:space="preserve">Free (no deposit)</t>
  </si>
  <si>
    <t xml:space="preserve">Token-based (30-min expiry, auto-refresh)</t>
  </si>
  <si>
    <t xml:space="preserve">Not specified</t>
  </si>
  <si>
    <t xml:space="preserve">/markets, /events, /series</t>
  </si>
  <si>
    <t xml:space="preserve">CFTC-regulated event contracts: economic data, Fed decisions, elections. 3,500+ markets. Zero-fee limit orders.</t>
  </si>
  <si>
    <t xml:space="preserve">US-regulated. 30-min token expiry requires auto-refresh in production.</t>
  </si>
  <si>
    <t xml:space="preserve">https://docs.kalshi.com/</t>
  </si>
  <si>
    <t xml:space="preserve">Marketaux</t>
  </si>
  <si>
    <t xml:space="preserve">News + Sentiment</t>
  </si>
  <si>
    <t xml:space="preserve">100 req/day, 3 articles/req</t>
  </si>
  <si>
    <t xml:space="preserve">Near real-time</t>
  </si>
  <si>
    <t xml:space="preserve">/v1/news/all?symbols={ticker}&amp;filter_entities=true</t>
  </si>
  <si>
    <t xml:space="preserve">Financial news articles with pre-computed sentiment scores, entity extraction, ticker tagging, source credibility. 300 articles/day effective (100 req × 3/req).</t>
  </si>
  <si>
    <t xml:space="preserve">Qual 1a (news with sentiment)</t>
  </si>
  <si>
    <t xml:space="preserve">100 req/day limit. 3 articles per request. Sentiment is pre-computed (saves LLM calls). Free tier covers our 65-ticker daily news sweep.</t>
  </si>
  <si>
    <t xml:space="preserve">https://www.marketaux.com/</t>
  </si>
  <si>
    <t xml:space="preserve">Yahoo Finance (yfinance)</t>
  </si>
  <si>
    <t xml:space="preserve">Multi-purpose (unofficial)</t>
  </si>
  <si>
    <t xml:space="preserve">Free (unofficial)</t>
  </si>
  <si>
    <t xml:space="preserve">YES — ESTIMATES</t>
  </si>
  <si>
    <t xml:space="preserve">Undocumented, aggressive blocking possible</t>
  </si>
  <si>
    <t xml:space="preserve">Real-time for estimates; EOD for prices; intraday ~60 days</t>
  </si>
  <si>
    <t xml:space="preserve">get_earnings_estimate(), get_revenue_estimate(), get_eps_trend(), get_eps_revisions(), get_earnings_history(), get_growth_estimates(), get_analyst_price_targets(), .history(), .options</t>
  </si>
  <si>
    <t xml:space="preserve">Consensus EPS + revenue (avg/low/high/analysts/growth by period), EPS revision tracking (7d/30d/60d/90d snapshots), up/down revision counts, beat/miss history (actual vs estimate + surprise %), analyst price targets, historical prices, EOD options chains</t>
  </si>
  <si>
    <t xml:space="preserve">Q5d (earnings estimates — PRIMARY), Q5f (analyst targets), Backup: Q1, Q3a (EOD chains), Q5 (basic fundamentals)</t>
  </si>
  <si>
    <t xml:space="preserve">Unofficial library scraping Yahoo Finance. Tested: 62/62 valid tickers in 16.6s at 150ms intervals with zero blocks. Risk: Yahoo can block aggressively during heavy use. Mitigate with daily caching + polite rate limiting.</t>
  </si>
  <si>
    <t xml:space="preserve">https://pypi.org/project/yfinance/</t>
  </si>
  <si>
    <t xml:space="preserve">iBorrowDesk</t>
  </si>
  <si>
    <t xml:space="preserve">Short Selling / Borrow Cost</t>
  </si>
  <si>
    <t xml:space="preserve">Free (scraping IBKR)</t>
  </si>
  <si>
    <t xml:space="preserve">YES — SCRAPING</t>
  </si>
  <si>
    <t xml:space="preserve">None (web scraping, React-based)</t>
  </si>
  <si>
    <t xml:space="preserve">Polite: 1 req/sec recommended</t>
  </si>
  <si>
    <t xml:space="preserve">Updated every 15 min during US trading hours</t>
  </si>
  <si>
    <t xml:space="preserve">Scrape: iborrowdesk.com/report/{ticker}</t>
  </si>
  <si>
    <t xml:space="preserve">Borrow fee rate (annual %), available shares, last update timestamp. Covers most liquid tickers. 1yr free history, 5yr for Patreon ($10/mo).</t>
  </si>
  <si>
    <t xml:space="preserve">Q4b (borrow cost)</t>
  </si>
  <si>
    <t xml:space="preserve">Requires headless browser (Playwright/Selenium) — React SPA. robots.txt returns 403. No explicit ToS prohibition found. FINRA SLATE delayed to March 2029.</t>
  </si>
  <si>
    <t xml:space="preserve">https://iborrowdesk.com/</t>
  </si>
  <si>
    <t xml:space="preserve">Motley Fool / Quartr / YouTube+Whisper</t>
  </si>
  <si>
    <t xml:space="preserve">Earnings Transcripts</t>
  </si>
  <si>
    <t xml:space="preserve">Free (scraping + API)</t>
  </si>
  <si>
    <t xml:space="preserve">None (web scraping) / Quartr API</t>
  </si>
  <si>
    <t xml:space="preserve">Polite scraping, rate varies</t>
  </si>
  <si>
    <t xml:space="preserve">Published within 24 hours of earnings call</t>
  </si>
  <si>
    <t xml:space="preserve">Scrape fool.com/earnings-call-transcripts/ + Quartr API + YouTube webcast URLs</t>
  </si>
  <si>
    <t xml:space="preserve">Full earnings call transcripts: prepared remarks + Q&amp;A. Motley Fool: most S&amp;P 500 + large-cap. Quartr: ~95% of public companies. YouTube+Whisper: 100% coverage fallback.</t>
  </si>
  <si>
    <t xml:space="preserve">Qual 4a-4b (earnings transcripts)</t>
  </si>
  <si>
    <t xml:space="preserve">Multi-source approach increases coverage and resilience. Motley Fool: free, &lt;24hr latency. Quartr: well-structured, broad coverage. YouTube+Whisper: compute cost for transcription but guarantees coverage. Build priority cascade: Quartr → Motley Fool → YouTube+Whisper.</t>
  </si>
  <si>
    <t xml:space="preserve">https://www.fool.com/earnings-call-transcripts/</t>
  </si>
  <si>
    <t xml:space="preserve">Polygon Stocks Developer</t>
  </si>
  <si>
    <t xml:space="preserve">Equities (upgrade)</t>
  </si>
  <si>
    <t xml:space="preserve">Stocks Developer</t>
  </si>
  <si>
    <t xml:space="preserve">$79/mo</t>
  </si>
  <si>
    <t xml:space="preserve">NO — upgrade</t>
  </si>
  <si>
    <t xml:space="preserve">Unlimited, 3+ WS</t>
  </si>
  <si>
    <t xml:space="preserve">Real-time trades + quotes</t>
  </si>
  <si>
    <t xml:space="preserve">/v3/trades/{ticker}, /v3/quotes/{ticker}</t>
  </si>
  <si>
    <t xml:space="preserve">Tick-level trades (condition codes), real-time NBBO, 10yr history</t>
  </si>
  <si>
    <t xml:space="preserve">Q2a (true trade flow), Q2b (spread), Q2f (ext-hours)</t>
  </si>
  <si>
    <t xml:space="preserve">Enables true order flow analysis. Net +$50/mo over Starter.</t>
  </si>
  <si>
    <t xml:space="preserve">Polygon Options Developer</t>
  </si>
  <si>
    <t xml:space="preserve">Options (upgrade)</t>
  </si>
  <si>
    <t xml:space="preserve">Options Developer</t>
  </si>
  <si>
    <t xml:space="preserve">Same as Stocks</t>
  </si>
  <si>
    <t xml:space="preserve">Real-time options trades</t>
  </si>
  <si>
    <t xml:space="preserve">/v3/trades/options/{ticker}</t>
  </si>
  <si>
    <t xml:space="preserve">Individual options trades (sweep/block detection), 4yr history</t>
  </si>
  <si>
    <t xml:space="preserve">Q3b (sweeps), Q3g (cross-ticker flow)</t>
  </si>
  <si>
    <t xml:space="preserve">Enables sweep detection, block identification. Net +$50/mo over Options Starter.</t>
  </si>
  <si>
    <t xml:space="preserve">CME FedWatch API</t>
  </si>
  <si>
    <t xml:space="preserve">Rate Expectations</t>
  </si>
  <si>
    <t xml:space="preserve">Paid API</t>
  </si>
  <si>
    <t xml:space="preserve">$25/mo</t>
  </si>
  <si>
    <t xml:space="preserve">OAuth2</t>
  </si>
  <si>
    <t xml:space="preserve">Varies</t>
  </si>
  <si>
    <t xml:space="preserve">60-sec intraday</t>
  </si>
  <si>
    <t xml:space="preserve">/fedwatch/v1/forecasts</t>
  </si>
  <si>
    <t xml:space="preserve">Pre-computed fed rate decision probabilities by meeting</t>
  </si>
  <si>
    <t xml:space="preserve">Q6b</t>
  </si>
  <si>
    <t xml:space="preserve">Convenience — derivation from futures is acceptable.</t>
  </si>
  <si>
    <t xml:space="preserve">https://www.cmegroup.com/</t>
  </si>
  <si>
    <t xml:space="preserve">FMP Premium</t>
  </si>
  <si>
    <t xml:space="preserve">Fundamentals (upgrade)</t>
  </si>
  <si>
    <t xml:space="preserve">Premium</t>
  </si>
  <si>
    <t xml:space="preserve">$59/mo</t>
  </si>
  <si>
    <t xml:space="preserve">750 calls/min, 50GB</t>
  </si>
  <si>
    <t xml:space="preserve">/income-statement/{ticker}, /earnings-estimate/{ticker}</t>
  </si>
  <si>
    <t xml:space="preserve">Quarterly financials (30yr), earnings estimates/consensus, analyst ratings, intraday, technical indicators. US+UK+Canada.</t>
  </si>
  <si>
    <t xml:space="preserve">Q5a-c (quarterly), Q5d (estimates), Q5f (ratings)</t>
  </si>
  <si>
    <t xml:space="preserve">Best upgrade for fundamentals + estimates when system goes live. No transcripts (Ultimate $149/mo for those).</t>
  </si>
  <si>
    <t xml:space="preserve">https://site.financialmodelingprep.com/pricing-plans</t>
  </si>
  <si>
    <t xml:space="preserve">Unusual Whales API</t>
  </si>
  <si>
    <t xml:space="preserve">Flow + Dark Pool + Short</t>
  </si>
  <si>
    <t xml:space="preserve">API Basic</t>
  </si>
  <si>
    <t xml:space="preserve">$125/mo</t>
  </si>
  <si>
    <t xml:space="preserve">/api/option_flow, /api/darkpool, /api/shorts/{ticker}/interest-float/v2</t>
  </si>
  <si>
    <t xml:space="preserve">Options flow alerts, dark pool trades (venue), GEX/DEX pre-computed, borrow costs (fee_rate, rebate_rate), IV analytics</t>
  </si>
  <si>
    <t xml:space="preserve">Q2c, Q3b, Q3d, Q3g, Q4b, Qual 2c</t>
  </si>
  <si>
    <t xml:space="preserve">Most impactful single upgrade. Replaces iBorrowDesk + adds dark pool + flow alerts.</t>
  </si>
  <si>
    <t xml:space="preserve">https://unusualwhales.com/pricing?product=api</t>
  </si>
  <si>
    <t xml:space="preserve">Fintel.io API</t>
  </si>
  <si>
    <t xml:space="preserve">Borrow Cost (upgrade)</t>
  </si>
  <si>
    <t xml:space="preserve">Paid (pricing TBD)</t>
  </si>
  <si>
    <t xml:space="preserve">TBD</t>
  </si>
  <si>
    <t xml:space="preserve">NO — investigate</t>
  </si>
  <si>
    <t xml:space="preserve">Every 30 min intraday</t>
  </si>
  <si>
    <t xml:space="preserve">https://fintel.io/api-developers</t>
  </si>
  <si>
    <t xml:space="preserve">Short borrow rates from prime brokerage partner, short interest analytics</t>
  </si>
  <si>
    <t xml:space="preserve">Q4b (borrow cost — official API alternative to iBorrowDesk)</t>
  </si>
  <si>
    <t xml:space="preserve">Official API — more legitimate than scraping. Pricing unclear. Different prime broker source than IBKR — rates may differ.</t>
  </si>
  <si>
    <t xml:space="preserve">https://developers.fintel.io/</t>
  </si>
  <si>
    <t xml:space="preserve">FINALIZED DATA STACK: $58/mo ($46/mo with annual billing)</t>
  </si>
  <si>
    <t xml:space="preserve">Polygon Stocks Starter + Polygon Options Starter + Free Government/Commercial Sources + iBorrowDesk/Transcript Scraping</t>
  </si>
  <si>
    <t xml:space="preserve">Source</t>
  </si>
  <si>
    <t xml:space="preserve">Monthly Cost ($)</t>
  </si>
  <si>
    <t xml:space="preserve">Role in Stack</t>
  </si>
  <si>
    <t xml:space="preserve">Categories Covered</t>
  </si>
  <si>
    <t xml:space="preserve">Notes</t>
  </si>
  <si>
    <t xml:space="preserve">PAID SOURCES</t>
  </si>
  <si>
    <t xml:space="preserve">Primary equities data feed</t>
  </si>
  <si>
    <t xml:space="preserve">Q1 (OHLCV all timeframes), Q1g (extended hours), Q2e (VWAP from bars), Q6f (forex), Q8 (commodity tickers)</t>
  </si>
  <si>
    <t xml:space="preserve">Real-time aggregates, 5yr history, extended hours, 1-min bars, websockets. Foundation of price/volume pipeline. Annual billing: ~$23.20/mo.</t>
  </si>
  <si>
    <t xml:space="preserve">Primary options data feed</t>
  </si>
  <si>
    <t xml:space="preserve">Q3a (IV surface), Q3c (OI), Q3d (GEX/DEX—derived), Q3e (implied move), Q3f (P/C dynamics), Q3g-h (partial)</t>
  </si>
  <si>
    <t xml:space="preserve">Real-time greeks + IV, daily OI, chain snapshots, websockets. 2yr history. Enables local GEX/DEX, IV surface, skew, term structure. Annual billing: ~$23.20/mo.</t>
  </si>
  <si>
    <t xml:space="preserve">FREE SOURCES (Government / Public)</t>
  </si>
  <si>
    <t xml:space="preserve">Macro/rates backbone</t>
  </si>
  <si>
    <t xml:space="preserve">Q6a-6g (yields, inflation, growth, credit, currency), Q7 (inputs), Q11a (VIX)</t>
  </si>
  <si>
    <t xml:space="preserve">120 req/min. Comprehensive macro coverage.</t>
  </si>
  <si>
    <t xml:space="preserve">Employment detail</t>
  </si>
  <si>
    <t xml:space="preserve">Q6d (granular employment beyond FRED)</t>
  </si>
  <si>
    <t xml:space="preserve">500 req/day. Supplements FRED.</t>
  </si>
  <si>
    <t xml:space="preserve">Energy data backbone</t>
  </si>
  <si>
    <t xml:space="preserve">Q8a (crude), Q8b (nat gas), Q8e (crack inputs), Qual 6b (energy catalysts)</t>
  </si>
  <si>
    <t xml:space="preserve">~9K req/hr. Weekly inventory/storage, production, prices. Also electricity/nuclear/renewables.</t>
  </si>
  <si>
    <t xml:space="preserve">Treasury auctions/yield</t>
  </si>
  <si>
    <t xml:space="preserve">Q6a (yield curve supplement)</t>
  </si>
  <si>
    <t xml:space="preserve">177+ datasets. No auth required.</t>
  </si>
  <si>
    <t xml:space="preserve">Financials (XBRL) + filings + insider tx</t>
  </si>
  <si>
    <t xml:space="preserve">Q5a-c (XBRL quarterly financials), Q5g (Form 4), Q12b-c-e (filings), Qual 5b (regulatory)</t>
  </si>
  <si>
    <t xml:space="preserve">10 req/sec. XBRL CompanyFacts API for structured financials. RSS for real-time filings. Requires building XBRL parser — one-time infrastructure investment.</t>
  </si>
  <si>
    <t xml:space="preserve">CFTC COT (via PRE API)</t>
  </si>
  <si>
    <t xml:space="preserve">Positioning data</t>
  </si>
  <si>
    <t xml:space="preserve">Q3c (index futures positioning), Q8f (commodity positioning)</t>
  </si>
  <si>
    <t xml:space="preserve">Weekly COT (4 report types). Public Reporting Environment API available.</t>
  </si>
  <si>
    <t xml:space="preserve">Short interest + volume</t>
  </si>
  <si>
    <t xml:space="preserve">Q4a (short interest), Q4c (daily short volume)</t>
  </si>
  <si>
    <t xml:space="preserve">Bi-monthly SI (delayed). Daily short volume (next-day). Bulk files + FTP.</t>
  </si>
  <si>
    <t xml:space="preserve">Dark pool volumes</t>
  </si>
  <si>
    <t xml:space="preserve">Q2c (dark pool volume — weekly, delayed)</t>
  </si>
  <si>
    <t xml:space="preserve">Weekly venue-level dark pool volume aggregates.</t>
  </si>
  <si>
    <t xml:space="preserve">FREE SOURCES (Commercial Free Tiers)</t>
  </si>
  <si>
    <t xml:space="preserve">Alpaca Markets (backup)</t>
  </si>
  <si>
    <t xml:space="preserve">Backup equity feed + paper trading</t>
  </si>
  <si>
    <t xml:space="preserve">Q1 (backup OHLCV), execution layer (brokerage)</t>
  </si>
  <si>
    <t xml:space="preserve">Free, no deposit required. IEX-only. 200 req/min. WS: 30 channels.</t>
  </si>
  <si>
    <t xml:space="preserve">Calendars + news + ratings</t>
  </si>
  <si>
    <t xml:space="preserve">Q5e (earnings cal), Q5f (analyst ratings), Q6g (macro cal), Q12d (events), Qual 1a (news), Qual 5e (policy cal)</t>
  </si>
  <si>
    <t xml:space="preserve">60 calls/min. Earnings estimates are PREMIUM only ($11.99+/mo). Free = calendars + news + basic data.</t>
  </si>
  <si>
    <t xml:space="preserve">Marketaux (free tier)</t>
  </si>
  <si>
    <t xml:space="preserve">News with pre-computed sentiment</t>
  </si>
  <si>
    <t xml:space="preserve">Qual 1a (news headlines + sentiment + entity extraction)</t>
  </si>
  <si>
    <t xml:space="preserve">100 req/day, 3 articles/req = ~300 articles/day. Pre-computed sentiment saves LLM inference. Covers daily news sweep for 65 tickers.</t>
  </si>
  <si>
    <t xml:space="preserve">Social sentiment</t>
  </si>
  <si>
    <t xml:space="preserve">Qual 2a (social sentiment)</t>
  </si>
  <si>
    <t xml:space="preserve">~60 calls/min. Basic per-ticker sentiment + volume.</t>
  </si>
  <si>
    <t xml:space="preserve">Google Trends API (official)</t>
  </si>
  <si>
    <t xml:space="preserve">Alternative sentiment</t>
  </si>
  <si>
    <t xml:space="preserve">Qual 2b (search interest proxies)</t>
  </si>
  <si>
    <t xml:space="preserve">Official API since 2025. 1,500 req/day. Production-grade. Replaces fragile pytrends.</t>
  </si>
  <si>
    <t xml:space="preserve">Prediction markets</t>
  </si>
  <si>
    <t xml:space="preserve">Qual 3a-3c (prediction market odds)</t>
  </si>
  <si>
    <t xml:space="preserve">Free read-only. 300 req/10s. WS streaming. Good FOMC/regulatory coverage.</t>
  </si>
  <si>
    <t xml:space="preserve">Qual 3a-3c (regulated US)</t>
  </si>
  <si>
    <t xml:space="preserve">Free, no deposit. CFTC-regulated. 3,500+ markets. 30-min token expiry.</t>
  </si>
  <si>
    <t xml:space="preserve">Earnings estimates (PRIMARY) + price fallback</t>
  </si>
  <si>
    <t xml:space="preserve">Q5d (consensus EPS/rev, revision trends, beat/miss — PRIMARY), Q5f (analyst price targets), Backup: Q1 (prices), Q3a (EOD chains)</t>
  </si>
  <si>
    <t xml:space="preserve">7 estimate endpoints confirmed working: 62/62 tickers in 16.6s. Run daily, cache locally. Revision tracking via eps_trend (7d/30d/60d/90d snapshots). Risk: Yahoo blocking — mitigate with cache + polite 150ms delays.</t>
  </si>
  <si>
    <t xml:space="preserve">SCRAPING SOURCES</t>
  </si>
  <si>
    <t xml:space="preserve">iBorrowDesk (scraping IBKR)</t>
  </si>
  <si>
    <t xml:space="preserve">Borrow cost data</t>
  </si>
  <si>
    <t xml:space="preserve">Q4b (borrow fee, available shares, HTB status)</t>
  </si>
  <si>
    <t xml:space="preserve">Scrapes IBKR every 15 min during trading hours. All 65 tickers confirmed covered. React SPA → needs headless browser (Playwright). Legally gray. FINRA SLATE (official free) delayed to March 2029.</t>
  </si>
  <si>
    <t xml:space="preserve">Transcript pipeline (MF/Quartr/YT+Whisper)</t>
  </si>
  <si>
    <t xml:space="preserve">Earnings call transcripts</t>
  </si>
  <si>
    <t xml:space="preserve">Qual 4a-4b (earnings transcripts for LLM analysis)</t>
  </si>
  <si>
    <t xml:space="preserve">Priority cascade: Quartr (~95% coverage) → Motley Fool (free, &lt;24hr) → YouTube+Whisper (100% fallback). Multi-source approach is more resilient than single-source scraping. Build for 65-ticker universe.</t>
  </si>
  <si>
    <t xml:space="preserve">LOCALLY DERIVED (no external source)</t>
  </si>
  <si>
    <t xml:space="preserve">Technical Indicators (TA-Lib)</t>
  </si>
  <si>
    <t xml:space="preserve">All technical analysis</t>
  </si>
  <si>
    <t xml:space="preserve">Q1c-f (RSI, MACD, BB, ADX, ATR, gap analysis, relative perf, historical context)</t>
  </si>
  <si>
    <t xml:space="preserve">100% computed from OHLCV.</t>
  </si>
  <si>
    <t xml:space="preserve">GEX / DEX / Vanna Exposure</t>
  </si>
  <si>
    <t xml:space="preserve">Dealer positioning</t>
  </si>
  <si>
    <t xml:space="preserve">Q3d (gamma exposure, delta exposure, vanna/charm)</t>
  </si>
  <si>
    <t xml:space="preserve">GEX = Σ(OI × gamma × 100 × spot²). From Options Starter chain data.</t>
  </si>
  <si>
    <t xml:space="preserve">IV Surface / Rank / Skew</t>
  </si>
  <si>
    <t xml:space="preserve">Volatility analytics</t>
  </si>
  <si>
    <t xml:space="preserve">Q3a (IV surface, term structure, skew, IV rank, IV percentile)</t>
  </si>
  <si>
    <t xml:space="preserve">Built from chain snapshot greeks + IV per contract.</t>
  </si>
  <si>
    <t xml:space="preserve">Earnings Implied Move</t>
  </si>
  <si>
    <t xml:space="preserve">Earnings analytics</t>
  </si>
  <si>
    <t xml:space="preserve">Q3e (implied move from ATM straddle)</t>
  </si>
  <si>
    <t xml:space="preserve">ATM straddle pricing from chain snapshots.</t>
  </si>
  <si>
    <t xml:space="preserve">Squeeze Composite</t>
  </si>
  <si>
    <t xml:space="preserve">Short squeeze scoring</t>
  </si>
  <si>
    <t xml:space="preserve">Q4e (squeeze score from SI + borrow + short vol)</t>
  </si>
  <si>
    <t xml:space="preserve">Derived from FINRA SI + iBorrowDesk fees + FINRA short volume.</t>
  </si>
  <si>
    <t xml:space="preserve">Cross-Asset Correlations</t>
  </si>
  <si>
    <t xml:space="preserve">Regime detection</t>
  </si>
  <si>
    <t xml:space="preserve">Q7a-7g (correlations, lead-lag, dispersion, regimes)</t>
  </si>
  <si>
    <t xml:space="preserve">Computed from price data across asset classes.</t>
  </si>
  <si>
    <t xml:space="preserve">Volatility Regime Classification</t>
  </si>
  <si>
    <t xml:space="preserve">Vol regime labels</t>
  </si>
  <si>
    <t xml:space="preserve">Q11d-11f (realized vol, risk premium, regime)</t>
  </si>
  <si>
    <t xml:space="preserve">VIX from FRED + realized vol from SPX OHLCV → regime label.</t>
  </si>
  <si>
    <t xml:space="preserve">Crack Spreads</t>
  </si>
  <si>
    <t xml:space="preserve">Energy analytics</t>
  </si>
  <si>
    <t xml:space="preserve">Q8e (gasoline/diesel cracks)</t>
  </si>
  <si>
    <t xml:space="preserve">Computed from crude + product prices (EIA).</t>
  </si>
  <si>
    <t xml:space="preserve">EDGAR XBRL Parser</t>
  </si>
  <si>
    <t xml:space="preserve">Structured fundamentals</t>
  </si>
  <si>
    <t xml:space="preserve">Q5a-5c (quarterly + annual financials)</t>
  </si>
  <si>
    <t xml:space="preserve">One-time build. CompanyFacts + Frames APIs. Replaces FMP for financial statements.</t>
  </si>
  <si>
    <t xml:space="preserve">TOTAL MONTHLY COST</t>
  </si>
  <si>
    <t xml:space="preserve">Monthly billing. All other sources = $0.</t>
  </si>
  <si>
    <t xml:space="preserve">TOTAL WITH ANNUAL BILLING (20% off)</t>
  </si>
  <si>
    <t xml:space="preserve">Effective monthly rate with annual payment.</t>
  </si>
  <si>
    <t xml:space="preserve">TOTAL ANNUAL COST (monthly billing)</t>
  </si>
  <si>
    <t xml:space="preserve">TOTAL ANNUAL COST (annual billing)</t>
  </si>
  <si>
    <t xml:space="preserve">Saves ~$139/yr vs monthly billing.</t>
  </si>
  <si>
    <t xml:space="preserve">INFRASTRUCTURE TO BUILD (one-time engineering)</t>
  </si>
  <si>
    <t xml:space="preserve">Parse CompanyFacts/Frames JSON into structured financials</t>
  </si>
  <si>
    <t xml:space="preserve">Q5a-5c (replaces FMP for quarterly/annual statements)</t>
  </si>
  <si>
    <t xml:space="preserve">One-time build. XBRL data is well-structured JSON. Estimated 2-3 days of development. Permanent infrastructure — eliminates $19-59/mo FMP dependency.</t>
  </si>
  <si>
    <t xml:space="preserve">iBorrowDesk Scraper</t>
  </si>
  <si>
    <t xml:space="preserve">Headless browser scraper for borrow cost data</t>
  </si>
  <si>
    <t xml:space="preserve">Q4b (borrow fee rates)</t>
  </si>
  <si>
    <t xml:space="preserve">Playwright/Selenium. Estimated 2-4 hours. React SPA → parse rendered DOM. Schedule every 15 min during trading hours.</t>
  </si>
  <si>
    <t xml:space="preserve">Transcript Pipeline</t>
  </si>
  <si>
    <t xml:space="preserve">Multi-source transcript ingestion: Quartr API + Motley Fool scraper + YouTube+Whisper</t>
  </si>
  <si>
    <t xml:space="preserve">Qual 4a-4b (earnings call text for LLM analysis)</t>
  </si>
  <si>
    <t xml:space="preserve">Priority cascade: (1) Quartr API — well-structured, ~95% coverage, (2) Motley Fool scraper — free, &lt;24hr latency, (3) YouTube+Whisper — 100% fallback, requires compute for transcription. More resilient than single-source. Estimated 2-3 days initial build. Whisper pipeline adds ~1 day.</t>
  </si>
  <si>
    <t xml:space="preserve">yfinance Estimate Cache</t>
  </si>
  <si>
    <t xml:space="preserve">Daily pull + local cache of all estimate data for 65 tickers</t>
  </si>
  <si>
    <t xml:space="preserve">Q5d (consensus EPS/rev, revisions, beat/miss, analyst targets)</t>
  </si>
  <si>
    <t xml:space="preserve">Run 7 estimate endpoints per ticker daily (~17s total). Cache in SQLite/Parquet. Build historical revision snapshots over time. Auto-retry on Yahoo blocks. Estimated 4-8 hours including cache schema.</t>
  </si>
  <si>
    <t xml:space="preserve">CFTC COT Parser</t>
  </si>
  <si>
    <t xml:space="preserve">Parse weekly COT report files</t>
  </si>
  <si>
    <t xml:space="preserve">Straightforward CSV parsing. PRE API may simplify. Estimated 2-4 hours.</t>
  </si>
  <si>
    <t xml:space="preserve">UPGRADE PATH (future budget increases)</t>
  </si>
  <si>
    <t xml:space="preserve">+ FMP Premium ($59/mo)</t>
  </si>
  <si>
    <t xml:space="preserve">Add: pre-structured fundamentals + 30yr history</t>
  </si>
  <si>
    <t xml:space="preserve">Upgrades: Q5a-c (30yr quarterly data, pre-structured), Q5d (official estimates — reduces yfinance dependency)</t>
  </si>
  <si>
    <t xml:space="preserve">Convenience upgrade — EDGAR XBRL + yfinance already cover the data. FMP adds pre-structured format, deeper history, intraday, technical indicators. Consider if EDGAR parser maintenance becomes burdensome.</t>
  </si>
  <si>
    <t xml:space="preserve">+ Polygon Stocks Developer ($79/mo)</t>
  </si>
  <si>
    <t xml:space="preserve">Upgrade: tick-level equity data</t>
  </si>
  <si>
    <t xml:space="preserve">Unlocks: Q2a (true trade flow), Q2b (real-time NBBO), Q2f (ext-hours ticks)</t>
  </si>
  <si>
    <t xml:space="preserve">Replaces Stocks Starter. Net +$50/mo. Enables order flow analysis.</t>
  </si>
  <si>
    <t xml:space="preserve">+ Polygon Options Developer ($79/mo)</t>
  </si>
  <si>
    <t xml:space="preserve">Upgrade: options trade data</t>
  </si>
  <si>
    <t xml:space="preserve">Unlocks: Q3b (sweep/block detection), Q3g (cross-ticker flow)</t>
  </si>
  <si>
    <t xml:space="preserve">Replaces Options Starter. Net +$50/mo. Enables sweep detection.</t>
  </si>
  <si>
    <t xml:space="preserve">+ Unusual Whales API Basic ($125/mo)</t>
  </si>
  <si>
    <t xml:space="preserve">Add: comprehensive flow data</t>
  </si>
  <si>
    <t xml:space="preserve">Unlocks: Q2c (real-time dark pool), Q3b (pre-computed flow), Q3g (cross-ticker), Q4b (official borrow data)</t>
  </si>
  <si>
    <t xml:space="preserve">Most impactful single upgrade overall. Replaces iBorrowDesk scraping. Adds dark pool + flow alerts.</t>
  </si>
  <si>
    <t xml:space="preserve">+ CME FedWatch API ($25/mo)</t>
  </si>
  <si>
    <t xml:space="preserve">Add: pre-computed rate probabilities</t>
  </si>
  <si>
    <t xml:space="preserve">Upgrades: Q6b (from derived to pre-computed)</t>
  </si>
  <si>
    <t xml:space="preserve">Convenience. Derivation from futures is acceptable.</t>
  </si>
  <si>
    <t xml:space="preserve">Spec Category</t>
  </si>
  <si>
    <t xml:space="preserve">Sub-ID</t>
  </si>
  <si>
    <t xml:space="preserve">Data Gap Description</t>
  </si>
  <si>
    <t xml:space="preserve">Impact on System</t>
  </si>
  <si>
    <t xml:space="preserve">Mitigation</t>
  </si>
  <si>
    <t xml:space="preserve">Cost to Close</t>
  </si>
  <si>
    <t xml:space="preserve">Priority</t>
  </si>
  <si>
    <t xml:space="preserve">Status</t>
  </si>
  <si>
    <t xml:space="preserve">True aggressor-side trade flow requires tick-level data</t>
  </si>
  <si>
    <t xml:space="preserve">Bar-level direction approximation introduces noise vs tick-level classification.</t>
  </si>
  <si>
    <t xml:space="preserve">UPGRADED: Alpaca IEX trades (free) + Lee-Ready algorithm for aggressor classification on ~2-3% of volume (IEX). Supplement with bar-level approximation from Polygon 1-min bars. Partial but directional signal.</t>
  </si>
  <si>
    <t xml:space="preserve">+$50/mo (Stocks Developer for full-market)</t>
  </si>
  <si>
    <t xml:space="preserve">UPGRADED — Alpaca+Lee-Ready</t>
  </si>
  <si>
    <t xml:space="preserve">Multi-level order book depth not available</t>
  </si>
  <si>
    <t xml:space="preserve">Cannot detect liquidity vacuums or thinning depth</t>
  </si>
  <si>
    <t xml:space="preserve">Track NBBO spread from Polygon last-quote snapshots as proxy.</t>
  </si>
  <si>
    <t xml:space="preserve">N/A (not available at any hobby price)</t>
  </si>
  <si>
    <t xml:space="preserve">ACCEPTED — spread proxy</t>
  </si>
  <si>
    <t xml:space="preserve">Real-time dark pool trade data with venue attribution</t>
  </si>
  <si>
    <t xml:space="preserve">Cannot distinguish institutional dark pool flow in real-time</t>
  </si>
  <si>
    <t xml:space="preserve">FINRA ATS weekly (delayed). FINRA short volume daily. Real-time: deferred.</t>
  </si>
  <si>
    <t xml:space="preserve">+$125/mo (UW API Basic)</t>
  </si>
  <si>
    <t xml:space="preserve">ACCEPTED — delayed proxy</t>
  </si>
  <si>
    <t xml:space="preserve">MOC/MOO auction imbalance requires exchange feeds</t>
  </si>
  <si>
    <t xml:space="preserve">Auction-anchored runs lose imbalance signal</t>
  </si>
  <si>
    <t xml:space="preserve">Infer from opening/closing price gaps post-hoc.</t>
  </si>
  <si>
    <t xml:space="preserve">Not feasible</t>
  </si>
  <si>
    <t xml:space="preserve">ACCEPTED — no solution</t>
  </si>
  <si>
    <t xml:space="preserve">Extended-hours tick-level block detection</t>
  </si>
  <si>
    <t xml:space="preserve">Cannot identify ext-hours block trades</t>
  </si>
  <si>
    <t xml:space="preserve">Ext-hours bars available. Block detection deferred.</t>
  </si>
  <si>
    <t xml:space="preserve">+$50/mo (Stocks Developer)</t>
  </si>
  <si>
    <t xml:space="preserve">ACCEPTED — bar proxy</t>
  </si>
  <si>
    <t xml:space="preserve">Pre-computed sweep and block detection</t>
  </si>
  <si>
    <t xml:space="preserve">Cannot detect institutional sweep orders. Volume-vs-OI spikes detectable.</t>
  </si>
  <si>
    <t xml:space="preserve">UPGRADED: Pseudo-sweep detector from Options Starter snapshots — poll every 60s, detect volume&gt;&gt;OI spikes, sudden IV jumps, OI changes between snapshots. ~65% accuracy. Multi-leg detection from correlated OI changes across strikes.</t>
  </si>
  <si>
    <t xml:space="preserve">+$50/mo (Options Developer) or +$125/mo (UW)</t>
  </si>
  <si>
    <t xml:space="preserve">UPGRADED — pseudo-sweep detector</t>
  </si>
  <si>
    <t xml:space="preserve">Buy-to-open vs sell-to-open classification</t>
  </si>
  <si>
    <t xml:space="preserve">Cannot distinguish protective vs speculative with certainty</t>
  </si>
  <si>
    <t xml:space="preserve">Heuristic from OI changes + volume patterns.</t>
  </si>
  <si>
    <t xml:space="preserve">+$50/mo (Options Developer)</t>
  </si>
  <si>
    <t xml:space="preserve">ACCEPTED — heuristic</t>
  </si>
  <si>
    <t xml:space="preserve">Full cross-ticker sweep correlation</t>
  </si>
  <si>
    <t xml:space="preserve">Cannot detect correlated sweep activity across tickers</t>
  </si>
  <si>
    <t xml:space="preserve">Scan OI/IV anomalies across 65 tickers from snapshots.</t>
  </si>
  <si>
    <t xml:space="preserve">PARTIAL — OI/IV anomalies</t>
  </si>
  <si>
    <t xml:space="preserve">Securities lending market structure (lendable supply, recall risk)</t>
  </si>
  <si>
    <t xml:space="preserve">Cannot detect supply-side squeeze signals</t>
  </si>
  <si>
    <t xml:space="preserve">iBorrowDesk 'available shares' gives partial proxy. Spec marked on-demand.</t>
  </si>
  <si>
    <t xml:space="preserve">Not feasible at hobby scale</t>
  </si>
  <si>
    <t xml:space="preserve">ACCEPTED — partial proxy</t>
  </si>
  <si>
    <t xml:space="preserve">Pre-computed Fed rate probabilities (FedWatch API)</t>
  </si>
  <si>
    <t xml:space="preserve">Must derive from futures (small accuracy cost)</t>
  </si>
  <si>
    <t xml:space="preserve">Derive from fed funds futures. FedWatch web tool for manual check.</t>
  </si>
  <si>
    <t xml:space="preserve">+$25/mo (FedWatch API)</t>
  </si>
  <si>
    <t xml:space="preserve">ACCEPTED — derivation ok</t>
  </si>
  <si>
    <t xml:space="preserve">Wire service headlines (Reuters, Bloomberg) not available</t>
  </si>
  <si>
    <t xml:space="preserve">Reduced news speed vs institutional participants</t>
  </si>
  <si>
    <t xml:space="preserve">UPGRADED: Multi-source pipeline — Finnhub (free) + Marketaux (free, 100 req/day with pre-computed sentiment + entity extraction) + RSS feeds (CNBC/Reuters/MarketWatch) + SEC EDGAR 8-K RSS for material filings. Still slower than wire services but significantly broader coverage.</t>
  </si>
  <si>
    <t xml:space="preserve">$0 (multi-source free) or $50-200/mo (Benzinga for wire-speed)</t>
  </si>
  <si>
    <t xml:space="preserve">UPGRADED — multi-source pipeline</t>
  </si>
  <si>
    <t xml:space="preserve">Sell-side research and sector trade press paywalled</t>
  </si>
  <si>
    <t xml:space="preserve">Cannot access primary institutional research</t>
  </si>
  <si>
    <t xml:space="preserve">UPGRADED: Zacks free research reports (ratings + price targets) + finance Substacks (macro/strategy) + OpenBB Terminal (open source aggregator). LLM distillation of free sources can approximate sell-side coverage.</t>
  </si>
  <si>
    <t xml:space="preserve">$0 (free sources) or $10-30/mo (SemiAnalysis for semis)</t>
  </si>
  <si>
    <t xml:space="preserve">UPGRADED — free research sources</t>
  </si>
  <si>
    <t xml:space="preserve">Pre-computed options flow narrative</t>
  </si>
  <si>
    <t xml:space="preserve">Qualitative options narrative missing</t>
  </si>
  <si>
    <t xml:space="preserve">Derive from local 3b detection + financial media.</t>
  </si>
  <si>
    <t xml:space="preserve">ACCEPTED — local derivation</t>
  </si>
  <si>
    <t xml:space="preserve">Qual 4: Earnings</t>
  </si>
  <si>
    <t xml:space="preserve">Earnings transcripts — no free API, multi-source pipeline</t>
  </si>
  <si>
    <t xml:space="preserve">Transcript quality depends on source availability and scraper reliability.</t>
  </si>
  <si>
    <t xml:space="preserve">UPGRADED: Priority cascade — (1) Quartr (~95% coverage, well-structured), (2) Motley Fool (free, &lt;24hr latency), (3) YouTube+Whisper (100% fallback). Multi-source approach far more resilient than single-source scraping.</t>
  </si>
  <si>
    <t xml:space="preserve">+$149/mo (FMP Ultimate) for API access</t>
  </si>
  <si>
    <t xml:space="preserve">Conference/investor day coverage patchy</t>
  </si>
  <si>
    <t xml:space="preserve">May miss non-earnings strategic updates</t>
  </si>
  <si>
    <t xml:space="preserve">UPGRADED: SEC EDGAR 8-K Item 7.01 (Reg FD Disclosure) captures material conference presentations as filed exhibits. Company IR event calendars for scheduling. Finnhub events as supplement. ~70% automated coverage.</t>
  </si>
  <si>
    <t xml:space="preserve">Manual effort for remaining ~30%</t>
  </si>
  <si>
    <t xml:space="preserve">UPGRADED — 8-K monitoring</t>
  </si>
  <si>
    <t xml:space="preserve">Qual 6: Sector</t>
  </si>
  <si>
    <t xml:space="preserve">Semi supply chain intel paywalled</t>
  </si>
  <si>
    <t xml:space="preserve">Reduced tech/semis sector intelligence</t>
  </si>
  <si>
    <t xml:space="preserve">UPGRADED: SIA monthly global semiconductor sales (free) + SEMI quarterly equipment/fab data (free) + DigiTimes (mostly free supply chain) + BIS export control announcements (free gov) + HPCwire/Tom's Hardware RSS. Structured free data sources now available.</t>
  </si>
  <si>
    <t xml:space="preserve">$0 (free sources) or $30/mo (SemiAnalysis for deep analysis)</t>
  </si>
  <si>
    <t xml:space="preserve">UPGRADED — structured free sources</t>
  </si>
  <si>
    <t xml:space="preserve">GAPS CLOSED (vs original $48/mo assumption)</t>
  </si>
  <si>
    <t xml:space="preserve">IV surface required Polygon Advanced ($199/mo)</t>
  </si>
  <si>
    <t xml:space="preserve">Previously: no intraday IV, no skew tracking</t>
  </si>
  <si>
    <t xml:space="preserve">CLOSED: Polygon Options Starter ($29/mo) provides greeks + IV. Surface/skew/term structure all derivable.</t>
  </si>
  <si>
    <t xml:space="preserve">$29/mo (included)</t>
  </si>
  <si>
    <t xml:space="preserve">CLOSED</t>
  </si>
  <si>
    <t xml:space="preserve">OI landscape required Polygon Advanced ($199/mo)</t>
  </si>
  <si>
    <t xml:space="preserve">Previously: no reliable OI for max pain</t>
  </si>
  <si>
    <t xml:space="preserve">CLOSED: Options Starter provides daily OI. Max pain, strike concentration, P/C by strike all derivable.</t>
  </si>
  <si>
    <t xml:space="preserve">GEX/DEX required full chain + greeks</t>
  </si>
  <si>
    <t xml:space="preserve">Previously: no dealer exposure computation</t>
  </si>
  <si>
    <t xml:space="preserve">CLOSED: Options Starter provides OI + greeks. GEX = Σ(OI × gamma × 100 × spot²) locally.</t>
  </si>
  <si>
    <t xml:space="preserve">Earnings implied move required chain data</t>
  </si>
  <si>
    <t xml:space="preserve">Previously: degraded earnings analytics</t>
  </si>
  <si>
    <t xml:space="preserve">CLOSED: ATM straddle pricing from chain snapshots.</t>
  </si>
  <si>
    <t xml:space="preserve">Borrow cost data had no affordable source</t>
  </si>
  <si>
    <t xml:space="preserve">Previously: VERY LOW feasibility</t>
  </si>
  <si>
    <t xml:space="preserve">CLOSED: iBorrowDesk scraping. Fee rate + available shares every 15 min.</t>
  </si>
  <si>
    <t xml:space="preserve">$0 (scraping)</t>
  </si>
  <si>
    <t xml:space="preserve">Squeeze composite degraded without borrow data</t>
  </si>
  <si>
    <t xml:space="preserve">Previously: partial composite (SI + short vol only)</t>
  </si>
  <si>
    <t xml:space="preserve">CLOSED: SI (4a) + borrow fee (4b via iBorrowDesk) + short vol (4c) = near-complete composite.</t>
  </si>
  <si>
    <t xml:space="preserve">$0 (derived)</t>
  </si>
  <si>
    <t xml:space="preserve">Quarterly financials required FMP or paid provider</t>
  </si>
  <si>
    <t xml:space="preserve">Previously: assumed FMP Starter covered this</t>
  </si>
  <si>
    <t xml:space="preserve">CLOSED: SEC EDGAR XBRL provides quarterly + annual structured financials for free. Requires parser build.</t>
  </si>
  <si>
    <t xml:space="preserve">$0 (EDGAR XBRL)</t>
  </si>
  <si>
    <t xml:space="preserve">CLOSED — EDGAR parser</t>
  </si>
  <si>
    <t xml:space="preserve">Consensus earnings estimates — previously flagged as no free source</t>
  </si>
  <si>
    <t xml:space="preserve">Previously: HIGH priority gap, no free API for estimates/revisions</t>
  </si>
  <si>
    <t xml:space="preserve">CLOSED: yfinance provides 7 estimate endpoints — consensus EPS+rev, revision tracking (7d/30d/60d/90d), up/down revision counts, beat/miss history, analyst targets. Tested 62/62 tickers in 16.6s. Cache daily.</t>
  </si>
  <si>
    <t xml:space="preserve">$0 (yfinance)</t>
  </si>
  <si>
    <t xml:space="preserve">CLOSED — yfinance estimates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</si>
</sst>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0061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BDD7EE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45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18"/>
    <col collapsed="false" customWidth="true" hidden="false" outlineLevel="0" max="10" min="10" style="0" width="6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2.3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customFormat="false" ht="22.35" hidden="false" customHeight="false" outlineLevel="0" collapsed="false">
      <c r="A3" s="2" t="s">
        <v>10</v>
      </c>
      <c r="B3" s="2" t="s">
        <v>20</v>
      </c>
      <c r="C3" s="2" t="s">
        <v>12</v>
      </c>
      <c r="D3" s="2" t="s">
        <v>21</v>
      </c>
      <c r="E3" s="2" t="s">
        <v>22</v>
      </c>
      <c r="F3" s="2" t="s">
        <v>15</v>
      </c>
      <c r="G3" s="2" t="s">
        <v>23</v>
      </c>
      <c r="H3" s="2" t="s">
        <v>24</v>
      </c>
      <c r="I3" s="4" t="s">
        <v>25</v>
      </c>
      <c r="J3" s="2" t="s">
        <v>26</v>
      </c>
    </row>
    <row r="4" customFormat="false" ht="15" hidden="false" customHeight="false" outlineLevel="0" collapsed="false">
      <c r="A4" s="2" t="s">
        <v>10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15</v>
      </c>
      <c r="G4" s="2" t="s">
        <v>31</v>
      </c>
      <c r="H4" s="2" t="s">
        <v>32</v>
      </c>
      <c r="I4" s="3" t="s">
        <v>18</v>
      </c>
      <c r="J4" s="2" t="s">
        <v>33</v>
      </c>
    </row>
    <row r="5" customFormat="false" ht="15" hidden="false" customHeight="false" outlineLevel="0" collapsed="false">
      <c r="A5" s="2" t="s">
        <v>10</v>
      </c>
      <c r="B5" s="2" t="s">
        <v>34</v>
      </c>
      <c r="C5" s="2" t="s">
        <v>28</v>
      </c>
      <c r="D5" s="2" t="s">
        <v>35</v>
      </c>
      <c r="E5" s="2" t="s">
        <v>36</v>
      </c>
      <c r="F5" s="2" t="s">
        <v>15</v>
      </c>
      <c r="G5" s="2" t="s">
        <v>31</v>
      </c>
      <c r="H5" s="2" t="s">
        <v>37</v>
      </c>
      <c r="I5" s="3" t="s">
        <v>18</v>
      </c>
      <c r="J5" s="2" t="s">
        <v>38</v>
      </c>
    </row>
    <row r="6" customFormat="false" ht="22.35" hidden="false" customHeight="false" outlineLevel="0" collapsed="false">
      <c r="A6" s="2" t="s">
        <v>10</v>
      </c>
      <c r="B6" s="2" t="s">
        <v>39</v>
      </c>
      <c r="C6" s="2" t="s">
        <v>28</v>
      </c>
      <c r="D6" s="2" t="s">
        <v>40</v>
      </c>
      <c r="E6" s="2" t="s">
        <v>41</v>
      </c>
      <c r="F6" s="2" t="s">
        <v>15</v>
      </c>
      <c r="G6" s="2" t="s">
        <v>31</v>
      </c>
      <c r="H6" s="2" t="s">
        <v>37</v>
      </c>
      <c r="I6" s="3" t="s">
        <v>18</v>
      </c>
      <c r="J6" s="2" t="s">
        <v>42</v>
      </c>
    </row>
    <row r="7" customFormat="false" ht="22.35" hidden="false" customHeight="false" outlineLevel="0" collapsed="false">
      <c r="A7" s="2" t="s">
        <v>10</v>
      </c>
      <c r="B7" s="2" t="s">
        <v>43</v>
      </c>
      <c r="C7" s="2" t="s">
        <v>28</v>
      </c>
      <c r="D7" s="2" t="s">
        <v>44</v>
      </c>
      <c r="E7" s="2" t="s">
        <v>45</v>
      </c>
      <c r="F7" s="2" t="s">
        <v>15</v>
      </c>
      <c r="G7" s="2" t="s">
        <v>31</v>
      </c>
      <c r="H7" s="2" t="s">
        <v>37</v>
      </c>
      <c r="I7" s="3" t="s">
        <v>18</v>
      </c>
      <c r="J7" s="2" t="s">
        <v>46</v>
      </c>
    </row>
    <row r="8" customFormat="false" ht="22.35" hidden="false" customHeight="false" outlineLevel="0" collapsed="false">
      <c r="A8" s="2" t="s">
        <v>10</v>
      </c>
      <c r="B8" s="2" t="s">
        <v>47</v>
      </c>
      <c r="C8" s="2" t="s">
        <v>12</v>
      </c>
      <c r="D8" s="2" t="s">
        <v>48</v>
      </c>
      <c r="E8" s="2" t="s">
        <v>49</v>
      </c>
      <c r="F8" s="2" t="s">
        <v>15</v>
      </c>
      <c r="G8" s="2" t="s">
        <v>16</v>
      </c>
      <c r="H8" s="2" t="s">
        <v>50</v>
      </c>
      <c r="I8" s="3" t="s">
        <v>18</v>
      </c>
      <c r="J8" s="2" t="s">
        <v>51</v>
      </c>
    </row>
    <row r="9" customFormat="false" ht="53.7" hidden="false" customHeight="false" outlineLevel="0" collapsed="false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15</v>
      </c>
      <c r="G9" s="2" t="s">
        <v>57</v>
      </c>
      <c r="H9" s="2" t="s">
        <v>58</v>
      </c>
      <c r="I9" s="4" t="s">
        <v>25</v>
      </c>
      <c r="J9" s="2" t="s">
        <v>59</v>
      </c>
    </row>
    <row r="10" customFormat="false" ht="22.35" hidden="false" customHeight="false" outlineLevel="0" collapsed="false">
      <c r="A10" s="2" t="s">
        <v>52</v>
      </c>
      <c r="B10" s="2" t="s">
        <v>60</v>
      </c>
      <c r="C10" s="2" t="s">
        <v>54</v>
      </c>
      <c r="D10" s="2" t="s">
        <v>61</v>
      </c>
      <c r="E10" s="2" t="s">
        <v>62</v>
      </c>
      <c r="F10" s="2" t="s">
        <v>15</v>
      </c>
      <c r="G10" s="2" t="s">
        <v>63</v>
      </c>
      <c r="H10" s="2" t="s">
        <v>37</v>
      </c>
      <c r="I10" s="4" t="s">
        <v>64</v>
      </c>
      <c r="J10" s="2" t="s">
        <v>65</v>
      </c>
    </row>
    <row r="11" customFormat="false" ht="32.8" hidden="false" customHeight="false" outlineLevel="0" collapsed="false">
      <c r="A11" s="2" t="s">
        <v>52</v>
      </c>
      <c r="B11" s="2" t="s">
        <v>66</v>
      </c>
      <c r="C11" s="2" t="s">
        <v>54</v>
      </c>
      <c r="D11" s="2" t="s">
        <v>67</v>
      </c>
      <c r="E11" s="2" t="s">
        <v>68</v>
      </c>
      <c r="F11" s="2" t="s">
        <v>15</v>
      </c>
      <c r="G11" s="2" t="s">
        <v>69</v>
      </c>
      <c r="H11" s="2" t="s">
        <v>70</v>
      </c>
      <c r="I11" s="4" t="s">
        <v>71</v>
      </c>
      <c r="J11" s="2" t="s">
        <v>72</v>
      </c>
    </row>
    <row r="12" customFormat="false" ht="22.35" hidden="false" customHeight="false" outlineLevel="0" collapsed="false">
      <c r="A12" s="2" t="s">
        <v>52</v>
      </c>
      <c r="B12" s="2" t="s">
        <v>73</v>
      </c>
      <c r="C12" s="2" t="s">
        <v>54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37</v>
      </c>
      <c r="I12" s="5" t="s">
        <v>78</v>
      </c>
      <c r="J12" s="2" t="s">
        <v>79</v>
      </c>
    </row>
    <row r="13" customFormat="false" ht="22.35" hidden="false" customHeight="false" outlineLevel="0" collapsed="false">
      <c r="A13" s="2" t="s">
        <v>52</v>
      </c>
      <c r="B13" s="2" t="s">
        <v>80</v>
      </c>
      <c r="C13" s="2" t="s">
        <v>28</v>
      </c>
      <c r="D13" s="2" t="s">
        <v>81</v>
      </c>
      <c r="E13" s="2" t="s">
        <v>82</v>
      </c>
      <c r="F13" s="2" t="s">
        <v>15</v>
      </c>
      <c r="G13" s="2" t="s">
        <v>83</v>
      </c>
      <c r="H13" s="2" t="s">
        <v>37</v>
      </c>
      <c r="I13" s="4" t="s">
        <v>25</v>
      </c>
      <c r="J13" s="2" t="s">
        <v>84</v>
      </c>
    </row>
    <row r="14" customFormat="false" ht="22.35" hidden="false" customHeight="false" outlineLevel="0" collapsed="false">
      <c r="A14" s="2" t="s">
        <v>52</v>
      </c>
      <c r="B14" s="2" t="s">
        <v>85</v>
      </c>
      <c r="C14" s="2" t="s">
        <v>54</v>
      </c>
      <c r="D14" s="2" t="s">
        <v>86</v>
      </c>
      <c r="E14" s="2" t="s">
        <v>87</v>
      </c>
      <c r="F14" s="2" t="s">
        <v>15</v>
      </c>
      <c r="G14" s="2" t="s">
        <v>88</v>
      </c>
      <c r="H14" s="2" t="s">
        <v>50</v>
      </c>
      <c r="I14" s="4" t="s">
        <v>71</v>
      </c>
      <c r="J14" s="2" t="s">
        <v>89</v>
      </c>
    </row>
    <row r="15" customFormat="false" ht="32.8" hidden="false" customHeight="false" outlineLevel="0" collapsed="false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15</v>
      </c>
      <c r="G15" s="2" t="s">
        <v>95</v>
      </c>
      <c r="H15" s="2" t="s">
        <v>96</v>
      </c>
      <c r="I15" s="3" t="s">
        <v>18</v>
      </c>
      <c r="J15" s="2" t="s">
        <v>97</v>
      </c>
    </row>
    <row r="16" customFormat="false" ht="53.7" hidden="false" customHeight="false" outlineLevel="0" collapsed="false">
      <c r="A16" s="2" t="s">
        <v>90</v>
      </c>
      <c r="B16" s="2" t="s">
        <v>98</v>
      </c>
      <c r="C16" s="2" t="s">
        <v>92</v>
      </c>
      <c r="D16" s="2" t="s">
        <v>99</v>
      </c>
      <c r="E16" s="2" t="s">
        <v>100</v>
      </c>
      <c r="F16" s="2" t="s">
        <v>15</v>
      </c>
      <c r="G16" s="2" t="s">
        <v>101</v>
      </c>
      <c r="H16" s="2" t="s">
        <v>102</v>
      </c>
      <c r="I16" s="4" t="s">
        <v>25</v>
      </c>
      <c r="J16" s="2" t="s">
        <v>103</v>
      </c>
    </row>
    <row r="17" customFormat="false" ht="22.35" hidden="false" customHeight="false" outlineLevel="0" collapsed="false">
      <c r="A17" s="2" t="s">
        <v>90</v>
      </c>
      <c r="B17" s="2" t="s">
        <v>104</v>
      </c>
      <c r="C17" s="2" t="s">
        <v>92</v>
      </c>
      <c r="D17" s="2" t="s">
        <v>105</v>
      </c>
      <c r="E17" s="2" t="s">
        <v>106</v>
      </c>
      <c r="F17" s="2" t="s">
        <v>15</v>
      </c>
      <c r="G17" s="2" t="s">
        <v>107</v>
      </c>
      <c r="H17" s="2" t="s">
        <v>108</v>
      </c>
      <c r="I17" s="3" t="s">
        <v>18</v>
      </c>
      <c r="J17" s="2" t="s">
        <v>109</v>
      </c>
    </row>
    <row r="18" customFormat="false" ht="22.35" hidden="false" customHeight="false" outlineLevel="0" collapsed="false">
      <c r="A18" s="2" t="s">
        <v>90</v>
      </c>
      <c r="B18" s="2" t="s">
        <v>110</v>
      </c>
      <c r="C18" s="2" t="s">
        <v>92</v>
      </c>
      <c r="D18" s="2" t="s">
        <v>111</v>
      </c>
      <c r="E18" s="2" t="s">
        <v>112</v>
      </c>
      <c r="F18" s="2" t="s">
        <v>15</v>
      </c>
      <c r="G18" s="2" t="s">
        <v>113</v>
      </c>
      <c r="H18" s="2" t="s">
        <v>37</v>
      </c>
      <c r="I18" s="3" t="s">
        <v>18</v>
      </c>
      <c r="J18" s="2" t="s">
        <v>114</v>
      </c>
    </row>
    <row r="19" customFormat="false" ht="22.35" hidden="false" customHeight="false" outlineLevel="0" collapsed="false">
      <c r="A19" s="2" t="s">
        <v>90</v>
      </c>
      <c r="B19" s="2" t="s">
        <v>115</v>
      </c>
      <c r="C19" s="2" t="s">
        <v>92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120</v>
      </c>
      <c r="I19" s="3" t="s">
        <v>18</v>
      </c>
      <c r="J19" s="2" t="s">
        <v>121</v>
      </c>
    </row>
    <row r="20" customFormat="false" ht="22.35" hidden="false" customHeight="false" outlineLevel="0" collapsed="false">
      <c r="A20" s="2" t="s">
        <v>90</v>
      </c>
      <c r="B20" s="2" t="s">
        <v>122</v>
      </c>
      <c r="C20" s="2" t="s">
        <v>92</v>
      </c>
      <c r="D20" s="2" t="s">
        <v>123</v>
      </c>
      <c r="E20" s="2" t="s">
        <v>124</v>
      </c>
      <c r="F20" s="2" t="s">
        <v>15</v>
      </c>
      <c r="G20" s="2" t="s">
        <v>95</v>
      </c>
      <c r="H20" s="2" t="s">
        <v>108</v>
      </c>
      <c r="I20" s="4" t="s">
        <v>25</v>
      </c>
      <c r="J20" s="2" t="s">
        <v>125</v>
      </c>
    </row>
    <row r="21" customFormat="false" ht="22.35" hidden="false" customHeight="false" outlineLevel="0" collapsed="false">
      <c r="A21" s="2" t="s">
        <v>90</v>
      </c>
      <c r="B21" s="2" t="s">
        <v>126</v>
      </c>
      <c r="C21" s="2" t="s">
        <v>92</v>
      </c>
      <c r="D21" s="2" t="s">
        <v>127</v>
      </c>
      <c r="E21" s="2" t="s">
        <v>128</v>
      </c>
      <c r="F21" s="2" t="s">
        <v>15</v>
      </c>
      <c r="G21" s="2" t="s">
        <v>129</v>
      </c>
      <c r="H21" s="2" t="s">
        <v>37</v>
      </c>
      <c r="I21" s="4" t="s">
        <v>25</v>
      </c>
      <c r="J21" s="2" t="s">
        <v>130</v>
      </c>
    </row>
    <row r="22" customFormat="false" ht="22.35" hidden="false" customHeight="false" outlineLevel="0" collapsed="false">
      <c r="A22" s="2" t="s">
        <v>90</v>
      </c>
      <c r="B22" s="2" t="s">
        <v>131</v>
      </c>
      <c r="C22" s="2" t="s">
        <v>92</v>
      </c>
      <c r="D22" s="2" t="s">
        <v>132</v>
      </c>
      <c r="E22" s="2" t="s">
        <v>133</v>
      </c>
      <c r="F22" s="2" t="s">
        <v>15</v>
      </c>
      <c r="G22" s="2" t="s">
        <v>134</v>
      </c>
      <c r="H22" s="2" t="s">
        <v>135</v>
      </c>
      <c r="I22" s="4" t="s">
        <v>25</v>
      </c>
      <c r="J22" s="2" t="s">
        <v>136</v>
      </c>
    </row>
    <row r="23" customFormat="false" ht="22.35" hidden="false" customHeight="false" outlineLevel="0" collapsed="false">
      <c r="A23" s="2" t="s">
        <v>137</v>
      </c>
      <c r="B23" s="2" t="s">
        <v>138</v>
      </c>
      <c r="C23" s="2" t="s">
        <v>139</v>
      </c>
      <c r="D23" s="2" t="s">
        <v>140</v>
      </c>
      <c r="E23" s="2" t="s">
        <v>141</v>
      </c>
      <c r="F23" s="2" t="s">
        <v>142</v>
      </c>
      <c r="G23" s="2" t="s">
        <v>143</v>
      </c>
      <c r="H23" s="2" t="s">
        <v>144</v>
      </c>
      <c r="I23" s="3" t="s">
        <v>145</v>
      </c>
      <c r="J23" s="2" t="s">
        <v>146</v>
      </c>
    </row>
    <row r="24" customFormat="false" ht="32.8" hidden="false" customHeight="false" outlineLevel="0" collapsed="false">
      <c r="A24" s="2" t="s">
        <v>137</v>
      </c>
      <c r="B24" s="2" t="s">
        <v>147</v>
      </c>
      <c r="C24" s="2" t="s">
        <v>139</v>
      </c>
      <c r="D24" s="2" t="s">
        <v>148</v>
      </c>
      <c r="E24" s="2" t="s">
        <v>149</v>
      </c>
      <c r="F24" s="2" t="s">
        <v>150</v>
      </c>
      <c r="G24" s="2" t="s">
        <v>151</v>
      </c>
      <c r="H24" s="2" t="s">
        <v>152</v>
      </c>
      <c r="I24" s="3" t="s">
        <v>18</v>
      </c>
      <c r="J24" s="2" t="s">
        <v>153</v>
      </c>
    </row>
    <row r="25" customFormat="false" ht="22.35" hidden="false" customHeight="false" outlineLevel="0" collapsed="false">
      <c r="A25" s="2" t="s">
        <v>137</v>
      </c>
      <c r="B25" s="2" t="s">
        <v>154</v>
      </c>
      <c r="C25" s="2" t="s">
        <v>139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3" t="s">
        <v>18</v>
      </c>
      <c r="J25" s="2" t="s">
        <v>160</v>
      </c>
    </row>
    <row r="26" customFormat="false" ht="22.35" hidden="false" customHeight="false" outlineLevel="0" collapsed="false">
      <c r="A26" s="2" t="s">
        <v>137</v>
      </c>
      <c r="B26" s="2" t="s">
        <v>161</v>
      </c>
      <c r="C26" s="2" t="s">
        <v>139</v>
      </c>
      <c r="D26" s="2" t="s">
        <v>162</v>
      </c>
      <c r="E26" s="2" t="s">
        <v>163</v>
      </c>
      <c r="F26" s="2" t="s">
        <v>164</v>
      </c>
      <c r="G26" s="2" t="s">
        <v>77</v>
      </c>
      <c r="H26" s="2" t="s">
        <v>37</v>
      </c>
      <c r="I26" s="5" t="s">
        <v>78</v>
      </c>
      <c r="J26" s="2" t="s">
        <v>165</v>
      </c>
    </row>
    <row r="27" customFormat="false" ht="22.35" hidden="false" customHeight="false" outlineLevel="0" collapsed="false">
      <c r="A27" s="2" t="s">
        <v>137</v>
      </c>
      <c r="B27" s="2" t="s">
        <v>166</v>
      </c>
      <c r="C27" s="2" t="s">
        <v>28</v>
      </c>
      <c r="D27" s="2" t="s">
        <v>167</v>
      </c>
      <c r="E27" s="2" t="s">
        <v>168</v>
      </c>
      <c r="F27" s="2" t="s">
        <v>169</v>
      </c>
      <c r="G27" s="2" t="s">
        <v>170</v>
      </c>
      <c r="H27" s="2" t="s">
        <v>171</v>
      </c>
      <c r="I27" s="3" t="s">
        <v>18</v>
      </c>
      <c r="J27" s="2" t="s">
        <v>172</v>
      </c>
    </row>
    <row r="28" customFormat="false" ht="32.8" hidden="false" customHeight="false" outlineLevel="0" collapsed="false">
      <c r="A28" s="2" t="s">
        <v>173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178</v>
      </c>
      <c r="G28" s="2" t="s">
        <v>179</v>
      </c>
      <c r="H28" s="2" t="s">
        <v>180</v>
      </c>
      <c r="I28" s="3" t="s">
        <v>18</v>
      </c>
      <c r="J28" s="2" t="s">
        <v>181</v>
      </c>
    </row>
    <row r="29" customFormat="false" ht="74.6" hidden="false" customHeight="false" outlineLevel="0" collapsed="false">
      <c r="A29" s="2" t="s">
        <v>173</v>
      </c>
      <c r="B29" s="2" t="s">
        <v>182</v>
      </c>
      <c r="C29" s="2" t="s">
        <v>175</v>
      </c>
      <c r="D29" s="2" t="s">
        <v>183</v>
      </c>
      <c r="E29" s="2" t="s">
        <v>184</v>
      </c>
      <c r="F29" s="2" t="s">
        <v>185</v>
      </c>
      <c r="G29" s="2" t="s">
        <v>186</v>
      </c>
      <c r="H29" s="2" t="s">
        <v>187</v>
      </c>
      <c r="I29" s="3" t="s">
        <v>18</v>
      </c>
      <c r="J29" s="2" t="s">
        <v>188</v>
      </c>
    </row>
    <row r="30" customFormat="false" ht="22.35" hidden="false" customHeight="false" outlineLevel="0" collapsed="false">
      <c r="A30" s="2" t="s">
        <v>173</v>
      </c>
      <c r="B30" s="2" t="s">
        <v>189</v>
      </c>
      <c r="C30" s="2" t="s">
        <v>175</v>
      </c>
      <c r="D30" s="2" t="s">
        <v>190</v>
      </c>
      <c r="E30" s="2" t="s">
        <v>191</v>
      </c>
      <c r="F30" s="2" t="s">
        <v>192</v>
      </c>
      <c r="G30" s="2" t="s">
        <v>193</v>
      </c>
      <c r="H30" s="2" t="s">
        <v>194</v>
      </c>
      <c r="I30" s="3" t="s">
        <v>18</v>
      </c>
      <c r="J30" s="2" t="s">
        <v>195</v>
      </c>
    </row>
    <row r="31" customFormat="false" ht="22.35" hidden="false" customHeight="false" outlineLevel="0" collapsed="false">
      <c r="A31" s="2" t="s">
        <v>173</v>
      </c>
      <c r="B31" s="2" t="s">
        <v>196</v>
      </c>
      <c r="C31" s="2" t="s">
        <v>175</v>
      </c>
      <c r="D31" s="2" t="s">
        <v>197</v>
      </c>
      <c r="E31" s="2" t="s">
        <v>198</v>
      </c>
      <c r="F31" s="2" t="s">
        <v>157</v>
      </c>
      <c r="G31" s="2" t="s">
        <v>193</v>
      </c>
      <c r="H31" s="2" t="s">
        <v>199</v>
      </c>
      <c r="I31" s="4" t="s">
        <v>25</v>
      </c>
      <c r="J31" s="2" t="s">
        <v>200</v>
      </c>
    </row>
    <row r="32" customFormat="false" ht="22.35" hidden="false" customHeight="false" outlineLevel="0" collapsed="false">
      <c r="A32" s="2" t="s">
        <v>173</v>
      </c>
      <c r="B32" s="2" t="s">
        <v>201</v>
      </c>
      <c r="C32" s="2" t="s">
        <v>175</v>
      </c>
      <c r="D32" s="2" t="s">
        <v>202</v>
      </c>
      <c r="E32" s="2" t="s">
        <v>203</v>
      </c>
      <c r="F32" s="2" t="s">
        <v>157</v>
      </c>
      <c r="G32" s="2" t="s">
        <v>204</v>
      </c>
      <c r="H32" s="2" t="s">
        <v>205</v>
      </c>
      <c r="I32" s="3" t="s">
        <v>18</v>
      </c>
      <c r="J32" s="2" t="s">
        <v>206</v>
      </c>
    </row>
    <row r="33" customFormat="false" ht="22.35" hidden="false" customHeight="false" outlineLevel="0" collapsed="false">
      <c r="A33" s="2" t="s">
        <v>207</v>
      </c>
      <c r="B33" s="2" t="s">
        <v>208</v>
      </c>
      <c r="C33" s="2" t="s">
        <v>209</v>
      </c>
      <c r="D33" s="2" t="s">
        <v>210</v>
      </c>
      <c r="E33" s="2" t="s">
        <v>211</v>
      </c>
      <c r="F33" s="2" t="s">
        <v>212</v>
      </c>
      <c r="G33" s="2" t="s">
        <v>213</v>
      </c>
      <c r="H33" s="2" t="s">
        <v>214</v>
      </c>
      <c r="I33" s="3" t="s">
        <v>18</v>
      </c>
      <c r="J33" s="2" t="s">
        <v>215</v>
      </c>
    </row>
    <row r="34" customFormat="false" ht="22.35" hidden="false" customHeight="false" outlineLevel="0" collapsed="false">
      <c r="A34" s="2" t="s">
        <v>207</v>
      </c>
      <c r="B34" s="2" t="s">
        <v>216</v>
      </c>
      <c r="C34" s="2" t="s">
        <v>209</v>
      </c>
      <c r="D34" s="2" t="s">
        <v>217</v>
      </c>
      <c r="E34" s="2" t="s">
        <v>218</v>
      </c>
      <c r="F34" s="2" t="s">
        <v>219</v>
      </c>
      <c r="G34" s="2" t="s">
        <v>220</v>
      </c>
      <c r="H34" s="2" t="s">
        <v>221</v>
      </c>
      <c r="I34" s="4" t="s">
        <v>25</v>
      </c>
      <c r="J34" s="2" t="s">
        <v>222</v>
      </c>
    </row>
    <row r="35" customFormat="false" ht="22.35" hidden="false" customHeight="false" outlineLevel="0" collapsed="false">
      <c r="A35" s="2" t="s">
        <v>207</v>
      </c>
      <c r="B35" s="2" t="s">
        <v>223</v>
      </c>
      <c r="C35" s="2" t="s">
        <v>209</v>
      </c>
      <c r="D35" s="2" t="s">
        <v>224</v>
      </c>
      <c r="E35" s="2" t="s">
        <v>225</v>
      </c>
      <c r="F35" s="2" t="s">
        <v>226</v>
      </c>
      <c r="G35" s="2" t="s">
        <v>227</v>
      </c>
      <c r="H35" s="2" t="s">
        <v>194</v>
      </c>
      <c r="I35" s="3" t="s">
        <v>18</v>
      </c>
      <c r="J35" s="2" t="s">
        <v>228</v>
      </c>
    </row>
    <row r="36" customFormat="false" ht="22.35" hidden="false" customHeight="false" outlineLevel="0" collapsed="false">
      <c r="A36" s="2" t="s">
        <v>207</v>
      </c>
      <c r="B36" s="2" t="s">
        <v>229</v>
      </c>
      <c r="C36" s="2" t="s">
        <v>209</v>
      </c>
      <c r="D36" s="2" t="s">
        <v>230</v>
      </c>
      <c r="E36" s="2" t="s">
        <v>231</v>
      </c>
      <c r="F36" s="2" t="s">
        <v>232</v>
      </c>
      <c r="G36" s="2" t="s">
        <v>227</v>
      </c>
      <c r="H36" s="2" t="s">
        <v>194</v>
      </c>
      <c r="I36" s="3" t="s">
        <v>18</v>
      </c>
      <c r="J36" s="2" t="s">
        <v>233</v>
      </c>
    </row>
    <row r="37" customFormat="false" ht="22.35" hidden="false" customHeight="false" outlineLevel="0" collapsed="false">
      <c r="A37" s="2" t="s">
        <v>207</v>
      </c>
      <c r="B37" s="2" t="s">
        <v>234</v>
      </c>
      <c r="C37" s="2" t="s">
        <v>209</v>
      </c>
      <c r="D37" s="2" t="s">
        <v>235</v>
      </c>
      <c r="E37" s="2" t="s">
        <v>236</v>
      </c>
      <c r="F37" s="2" t="s">
        <v>157</v>
      </c>
      <c r="G37" s="2" t="s">
        <v>213</v>
      </c>
      <c r="H37" s="2" t="s">
        <v>37</v>
      </c>
      <c r="I37" s="3" t="s">
        <v>18</v>
      </c>
      <c r="J37" s="2" t="s">
        <v>237</v>
      </c>
    </row>
    <row r="38" customFormat="false" ht="15" hidden="false" customHeight="false" outlineLevel="0" collapsed="false">
      <c r="A38" s="2" t="s">
        <v>207</v>
      </c>
      <c r="B38" s="2" t="s">
        <v>238</v>
      </c>
      <c r="C38" s="2" t="s">
        <v>209</v>
      </c>
      <c r="D38" s="2" t="s">
        <v>239</v>
      </c>
      <c r="E38" s="2" t="s">
        <v>240</v>
      </c>
      <c r="F38" s="2" t="s">
        <v>212</v>
      </c>
      <c r="G38" s="2" t="s">
        <v>241</v>
      </c>
      <c r="H38" s="2" t="s">
        <v>242</v>
      </c>
      <c r="I38" s="3" t="s">
        <v>18</v>
      </c>
      <c r="J38" s="2" t="s">
        <v>243</v>
      </c>
    </row>
    <row r="39" customFormat="false" ht="15" hidden="false" customHeight="false" outlineLevel="0" collapsed="false">
      <c r="A39" s="2" t="s">
        <v>207</v>
      </c>
      <c r="B39" s="2" t="s">
        <v>244</v>
      </c>
      <c r="C39" s="2" t="s">
        <v>209</v>
      </c>
      <c r="D39" s="2" t="s">
        <v>245</v>
      </c>
      <c r="E39" s="2" t="s">
        <v>246</v>
      </c>
      <c r="F39" s="2" t="s">
        <v>157</v>
      </c>
      <c r="G39" s="2" t="s">
        <v>193</v>
      </c>
      <c r="H39" s="2" t="s">
        <v>37</v>
      </c>
      <c r="I39" s="3" t="s">
        <v>18</v>
      </c>
      <c r="J39" s="2" t="s">
        <v>247</v>
      </c>
    </row>
    <row r="40" customFormat="false" ht="22.35" hidden="false" customHeight="false" outlineLevel="0" collapsed="false">
      <c r="A40" s="2" t="s">
        <v>248</v>
      </c>
      <c r="B40" s="2" t="s">
        <v>249</v>
      </c>
      <c r="C40" s="2" t="s">
        <v>28</v>
      </c>
      <c r="D40" s="2" t="s">
        <v>250</v>
      </c>
      <c r="E40" s="2" t="s">
        <v>251</v>
      </c>
      <c r="F40" s="2" t="s">
        <v>15</v>
      </c>
      <c r="G40" s="2" t="s">
        <v>252</v>
      </c>
      <c r="H40" s="2" t="s">
        <v>37</v>
      </c>
      <c r="I40" s="3" t="s">
        <v>18</v>
      </c>
      <c r="J40" s="2" t="s">
        <v>253</v>
      </c>
    </row>
    <row r="41" customFormat="false" ht="22.35" hidden="false" customHeight="false" outlineLevel="0" collapsed="false">
      <c r="A41" s="2" t="s">
        <v>254</v>
      </c>
      <c r="B41" s="2" t="s">
        <v>255</v>
      </c>
      <c r="C41" s="2" t="s">
        <v>256</v>
      </c>
      <c r="D41" s="2" t="s">
        <v>257</v>
      </c>
      <c r="E41" s="2" t="s">
        <v>258</v>
      </c>
      <c r="F41" s="2" t="s">
        <v>259</v>
      </c>
      <c r="G41" s="2" t="s">
        <v>260</v>
      </c>
      <c r="H41" s="2" t="s">
        <v>261</v>
      </c>
      <c r="I41" s="3" t="s">
        <v>18</v>
      </c>
      <c r="J41" s="2" t="s">
        <v>262</v>
      </c>
    </row>
    <row r="42" customFormat="false" ht="22.35" hidden="false" customHeight="false" outlineLevel="0" collapsed="false">
      <c r="A42" s="2" t="s">
        <v>254</v>
      </c>
      <c r="B42" s="2" t="s">
        <v>263</v>
      </c>
      <c r="C42" s="2" t="s">
        <v>256</v>
      </c>
      <c r="D42" s="2" t="s">
        <v>264</v>
      </c>
      <c r="E42" s="2" t="s">
        <v>265</v>
      </c>
      <c r="F42" s="2" t="s">
        <v>266</v>
      </c>
      <c r="G42" s="2" t="s">
        <v>267</v>
      </c>
      <c r="H42" s="2" t="s">
        <v>268</v>
      </c>
      <c r="I42" s="3" t="s">
        <v>18</v>
      </c>
      <c r="J42" s="2" t="s">
        <v>269</v>
      </c>
    </row>
    <row r="43" customFormat="false" ht="22.35" hidden="false" customHeight="false" outlineLevel="0" collapsed="false">
      <c r="A43" s="2" t="s">
        <v>254</v>
      </c>
      <c r="B43" s="2" t="s">
        <v>270</v>
      </c>
      <c r="C43" s="2" t="s">
        <v>256</v>
      </c>
      <c r="D43" s="2" t="s">
        <v>271</v>
      </c>
      <c r="E43" s="2" t="s">
        <v>272</v>
      </c>
      <c r="F43" s="2" t="s">
        <v>157</v>
      </c>
      <c r="G43" s="2" t="s">
        <v>273</v>
      </c>
      <c r="H43" s="2" t="s">
        <v>274</v>
      </c>
      <c r="I43" s="4" t="s">
        <v>25</v>
      </c>
      <c r="J43" s="2" t="s">
        <v>275</v>
      </c>
    </row>
    <row r="44" customFormat="false" ht="15" hidden="false" customHeight="false" outlineLevel="0" collapsed="false">
      <c r="A44" s="2" t="s">
        <v>254</v>
      </c>
      <c r="B44" s="2" t="s">
        <v>276</v>
      </c>
      <c r="C44" s="2" t="s">
        <v>256</v>
      </c>
      <c r="D44" s="2" t="s">
        <v>277</v>
      </c>
      <c r="E44" s="2" t="s">
        <v>278</v>
      </c>
      <c r="F44" s="2" t="s">
        <v>157</v>
      </c>
      <c r="G44" s="2" t="s">
        <v>279</v>
      </c>
      <c r="H44" s="2" t="s">
        <v>280</v>
      </c>
      <c r="I44" s="3" t="s">
        <v>18</v>
      </c>
      <c r="J44" s="2" t="s">
        <v>281</v>
      </c>
    </row>
    <row r="45" customFormat="false" ht="22.35" hidden="false" customHeight="false" outlineLevel="0" collapsed="false">
      <c r="A45" s="2" t="s">
        <v>254</v>
      </c>
      <c r="B45" s="2" t="s">
        <v>282</v>
      </c>
      <c r="C45" s="2" t="s">
        <v>28</v>
      </c>
      <c r="D45" s="2" t="s">
        <v>283</v>
      </c>
      <c r="E45" s="2" t="s">
        <v>284</v>
      </c>
      <c r="F45" s="2" t="s">
        <v>285</v>
      </c>
      <c r="G45" s="2" t="s">
        <v>286</v>
      </c>
      <c r="H45" s="2" t="s">
        <v>37</v>
      </c>
      <c r="I45" s="3" t="s">
        <v>18</v>
      </c>
      <c r="J45" s="2" t="s">
        <v>287</v>
      </c>
    </row>
    <row r="46" customFormat="false" ht="22.35" hidden="false" customHeight="false" outlineLevel="0" collapsed="false">
      <c r="A46" s="2" t="s">
        <v>254</v>
      </c>
      <c r="B46" s="2" t="s">
        <v>288</v>
      </c>
      <c r="C46" s="2" t="s">
        <v>256</v>
      </c>
      <c r="D46" s="2" t="s">
        <v>289</v>
      </c>
      <c r="E46" s="2" t="s">
        <v>290</v>
      </c>
      <c r="F46" s="2" t="s">
        <v>291</v>
      </c>
      <c r="G46" s="2" t="s">
        <v>292</v>
      </c>
      <c r="H46" s="2" t="s">
        <v>293</v>
      </c>
      <c r="I46" s="3" t="s">
        <v>18</v>
      </c>
      <c r="J46" s="2" t="s">
        <v>294</v>
      </c>
    </row>
    <row r="47" customFormat="false" ht="22.35" hidden="false" customHeight="false" outlineLevel="0" collapsed="false">
      <c r="A47" s="2" t="s">
        <v>295</v>
      </c>
      <c r="B47" s="2" t="s">
        <v>296</v>
      </c>
      <c r="C47" s="2" t="s">
        <v>297</v>
      </c>
      <c r="D47" s="2" t="s">
        <v>298</v>
      </c>
      <c r="E47" s="2" t="s">
        <v>299</v>
      </c>
      <c r="F47" s="2" t="s">
        <v>15</v>
      </c>
      <c r="G47" s="2" t="s">
        <v>300</v>
      </c>
      <c r="H47" s="2" t="s">
        <v>301</v>
      </c>
      <c r="I47" s="3" t="s">
        <v>18</v>
      </c>
      <c r="J47" s="2" t="s">
        <v>302</v>
      </c>
    </row>
    <row r="48" customFormat="false" ht="15" hidden="false" customHeight="false" outlineLevel="0" collapsed="false">
      <c r="A48" s="2" t="s">
        <v>295</v>
      </c>
      <c r="B48" s="2" t="s">
        <v>303</v>
      </c>
      <c r="C48" s="2" t="s">
        <v>28</v>
      </c>
      <c r="D48" s="2" t="s">
        <v>304</v>
      </c>
      <c r="E48" s="2" t="s">
        <v>305</v>
      </c>
      <c r="F48" s="2" t="s">
        <v>15</v>
      </c>
      <c r="G48" s="2" t="s">
        <v>306</v>
      </c>
      <c r="H48" s="2" t="s">
        <v>37</v>
      </c>
      <c r="I48" s="3" t="s">
        <v>18</v>
      </c>
      <c r="J48" s="2" t="s">
        <v>307</v>
      </c>
    </row>
    <row r="49" customFormat="false" ht="15" hidden="false" customHeight="false" outlineLevel="0" collapsed="false">
      <c r="A49" s="2" t="s">
        <v>295</v>
      </c>
      <c r="B49" s="2" t="s">
        <v>308</v>
      </c>
      <c r="C49" s="2" t="s">
        <v>28</v>
      </c>
      <c r="D49" s="2" t="s">
        <v>309</v>
      </c>
      <c r="E49" s="2" t="s">
        <v>310</v>
      </c>
      <c r="F49" s="2" t="s">
        <v>15</v>
      </c>
      <c r="G49" s="2" t="s">
        <v>311</v>
      </c>
      <c r="H49" s="2" t="s">
        <v>37</v>
      </c>
      <c r="I49" s="3" t="s">
        <v>18</v>
      </c>
      <c r="J49" s="2" t="s">
        <v>312</v>
      </c>
    </row>
    <row r="50" customFormat="false" ht="22.35" hidden="false" customHeight="false" outlineLevel="0" collapsed="false">
      <c r="A50" s="2" t="s">
        <v>313</v>
      </c>
      <c r="B50" s="2" t="s">
        <v>314</v>
      </c>
      <c r="C50" s="2" t="s">
        <v>315</v>
      </c>
      <c r="D50" s="2" t="s">
        <v>316</v>
      </c>
      <c r="E50" s="2" t="s">
        <v>317</v>
      </c>
      <c r="F50" s="2" t="s">
        <v>318</v>
      </c>
      <c r="G50" s="2" t="s">
        <v>319</v>
      </c>
      <c r="H50" s="2" t="s">
        <v>320</v>
      </c>
      <c r="I50" s="4" t="s">
        <v>25</v>
      </c>
      <c r="J50" s="2" t="s">
        <v>321</v>
      </c>
    </row>
    <row r="51" customFormat="false" ht="22.35" hidden="false" customHeight="false" outlineLevel="0" collapsed="false">
      <c r="A51" s="2" t="s">
        <v>313</v>
      </c>
      <c r="B51" s="2" t="s">
        <v>322</v>
      </c>
      <c r="C51" s="2" t="s">
        <v>315</v>
      </c>
      <c r="D51" s="2" t="s">
        <v>323</v>
      </c>
      <c r="E51" s="2" t="s">
        <v>324</v>
      </c>
      <c r="F51" s="2" t="s">
        <v>178</v>
      </c>
      <c r="G51" s="2" t="s">
        <v>325</v>
      </c>
      <c r="H51" s="2" t="s">
        <v>326</v>
      </c>
      <c r="I51" s="4" t="s">
        <v>25</v>
      </c>
      <c r="J51" s="2" t="s">
        <v>327</v>
      </c>
    </row>
    <row r="52" customFormat="false" ht="22.35" hidden="false" customHeight="false" outlineLevel="0" collapsed="false">
      <c r="A52" s="2" t="s">
        <v>313</v>
      </c>
      <c r="B52" s="2" t="s">
        <v>328</v>
      </c>
      <c r="C52" s="2" t="s">
        <v>315</v>
      </c>
      <c r="D52" s="2" t="s">
        <v>329</v>
      </c>
      <c r="E52" s="2" t="s">
        <v>330</v>
      </c>
      <c r="F52" s="2" t="s">
        <v>331</v>
      </c>
      <c r="G52" s="2" t="s">
        <v>332</v>
      </c>
      <c r="H52" s="2" t="s">
        <v>333</v>
      </c>
      <c r="I52" s="3" t="s">
        <v>18</v>
      </c>
      <c r="J52" s="2" t="s">
        <v>334</v>
      </c>
    </row>
    <row r="53" customFormat="false" ht="22.35" hidden="false" customHeight="false" outlineLevel="0" collapsed="false">
      <c r="A53" s="2" t="s">
        <v>313</v>
      </c>
      <c r="B53" s="2" t="s">
        <v>335</v>
      </c>
      <c r="C53" s="2" t="s">
        <v>315</v>
      </c>
      <c r="D53" s="2" t="s">
        <v>336</v>
      </c>
      <c r="E53" s="2" t="s">
        <v>337</v>
      </c>
      <c r="F53" s="2" t="s">
        <v>338</v>
      </c>
      <c r="G53" s="2" t="s">
        <v>193</v>
      </c>
      <c r="H53" s="2" t="s">
        <v>339</v>
      </c>
      <c r="I53" s="4" t="s">
        <v>25</v>
      </c>
      <c r="J53" s="2" t="s">
        <v>340</v>
      </c>
    </row>
    <row r="54" customFormat="false" ht="22.35" hidden="false" customHeight="false" outlineLevel="0" collapsed="false">
      <c r="A54" s="2" t="s">
        <v>313</v>
      </c>
      <c r="B54" s="2" t="s">
        <v>341</v>
      </c>
      <c r="C54" s="2" t="s">
        <v>315</v>
      </c>
      <c r="D54" s="2" t="s">
        <v>342</v>
      </c>
      <c r="E54" s="2" t="s">
        <v>343</v>
      </c>
      <c r="F54" s="2" t="s">
        <v>318</v>
      </c>
      <c r="G54" s="2" t="s">
        <v>344</v>
      </c>
      <c r="H54" s="2" t="s">
        <v>345</v>
      </c>
      <c r="I54" s="4" t="s">
        <v>25</v>
      </c>
      <c r="J54" s="2" t="s">
        <v>346</v>
      </c>
    </row>
    <row r="55" customFormat="false" ht="22.35" hidden="false" customHeight="false" outlineLevel="0" collapsed="false">
      <c r="A55" s="2" t="s">
        <v>313</v>
      </c>
      <c r="B55" s="2" t="s">
        <v>347</v>
      </c>
      <c r="C55" s="2" t="s">
        <v>28</v>
      </c>
      <c r="D55" s="2" t="s">
        <v>348</v>
      </c>
      <c r="E55" s="2" t="s">
        <v>349</v>
      </c>
      <c r="F55" s="2" t="s">
        <v>157</v>
      </c>
      <c r="G55" s="2" t="s">
        <v>350</v>
      </c>
      <c r="H55" s="2" t="s">
        <v>351</v>
      </c>
      <c r="I55" s="4" t="s">
        <v>25</v>
      </c>
      <c r="J55" s="2" t="s">
        <v>352</v>
      </c>
    </row>
    <row r="56" customFormat="false" ht="53.7" hidden="false" customHeight="false" outlineLevel="0" collapsed="false">
      <c r="A56" s="2" t="s">
        <v>353</v>
      </c>
      <c r="B56" s="2" t="s">
        <v>11</v>
      </c>
      <c r="C56" s="2" t="s">
        <v>354</v>
      </c>
      <c r="D56" s="2" t="s">
        <v>355</v>
      </c>
      <c r="E56" s="2" t="s">
        <v>356</v>
      </c>
      <c r="F56" s="2" t="s">
        <v>357</v>
      </c>
      <c r="G56" s="2" t="s">
        <v>358</v>
      </c>
      <c r="H56" s="2" t="s">
        <v>359</v>
      </c>
      <c r="I56" s="4" t="s">
        <v>25</v>
      </c>
      <c r="J56" s="2" t="s">
        <v>360</v>
      </c>
    </row>
    <row r="57" customFormat="false" ht="53.7" hidden="false" customHeight="false" outlineLevel="0" collapsed="false">
      <c r="A57" s="2" t="s">
        <v>353</v>
      </c>
      <c r="B57" s="2" t="s">
        <v>20</v>
      </c>
      <c r="C57" s="2" t="s">
        <v>354</v>
      </c>
      <c r="D57" s="2" t="s">
        <v>361</v>
      </c>
      <c r="E57" s="2" t="s">
        <v>362</v>
      </c>
      <c r="F57" s="2" t="s">
        <v>15</v>
      </c>
      <c r="G57" s="2" t="s">
        <v>363</v>
      </c>
      <c r="H57" s="2" t="s">
        <v>364</v>
      </c>
      <c r="I57" s="4" t="s">
        <v>64</v>
      </c>
      <c r="J57" s="2" t="s">
        <v>365</v>
      </c>
    </row>
    <row r="58" customFormat="false" ht="22.35" hidden="false" customHeight="false" outlineLevel="0" collapsed="false">
      <c r="A58" s="2" t="s">
        <v>366</v>
      </c>
      <c r="B58" s="2" t="s">
        <v>53</v>
      </c>
      <c r="C58" s="2" t="s">
        <v>367</v>
      </c>
      <c r="D58" s="2" t="s">
        <v>368</v>
      </c>
      <c r="E58" s="2" t="s">
        <v>369</v>
      </c>
      <c r="F58" s="2" t="s">
        <v>15</v>
      </c>
      <c r="G58" s="2" t="s">
        <v>370</v>
      </c>
      <c r="H58" s="2" t="s">
        <v>371</v>
      </c>
      <c r="I58" s="4" t="s">
        <v>25</v>
      </c>
      <c r="J58" s="2" t="s">
        <v>372</v>
      </c>
    </row>
    <row r="59" customFormat="false" ht="22.35" hidden="false" customHeight="false" outlineLevel="0" collapsed="false">
      <c r="A59" s="2" t="s">
        <v>366</v>
      </c>
      <c r="B59" s="2" t="s">
        <v>60</v>
      </c>
      <c r="C59" s="2" t="s">
        <v>367</v>
      </c>
      <c r="D59" s="2" t="s">
        <v>373</v>
      </c>
      <c r="E59" s="2" t="s">
        <v>374</v>
      </c>
      <c r="F59" s="2" t="s">
        <v>157</v>
      </c>
      <c r="G59" s="2" t="s">
        <v>375</v>
      </c>
      <c r="H59" s="2" t="s">
        <v>376</v>
      </c>
      <c r="I59" s="4" t="s">
        <v>25</v>
      </c>
      <c r="J59" s="2" t="s">
        <v>377</v>
      </c>
    </row>
    <row r="60" customFormat="false" ht="22.35" hidden="false" customHeight="false" outlineLevel="0" collapsed="false">
      <c r="A60" s="2" t="s">
        <v>366</v>
      </c>
      <c r="B60" s="2" t="s">
        <v>66</v>
      </c>
      <c r="C60" s="2" t="s">
        <v>367</v>
      </c>
      <c r="D60" s="2" t="s">
        <v>378</v>
      </c>
      <c r="E60" s="2" t="s">
        <v>379</v>
      </c>
      <c r="F60" s="2" t="s">
        <v>15</v>
      </c>
      <c r="G60" s="2" t="s">
        <v>380</v>
      </c>
      <c r="H60" s="2" t="s">
        <v>381</v>
      </c>
      <c r="I60" s="4" t="s">
        <v>64</v>
      </c>
      <c r="J60" s="2" t="s">
        <v>382</v>
      </c>
    </row>
    <row r="61" customFormat="false" ht="15" hidden="false" customHeight="false" outlineLevel="0" collapsed="false">
      <c r="A61" s="2" t="s">
        <v>383</v>
      </c>
      <c r="B61" s="2" t="s">
        <v>384</v>
      </c>
      <c r="C61" s="2" t="s">
        <v>385</v>
      </c>
      <c r="D61" s="2" t="s">
        <v>386</v>
      </c>
      <c r="E61" s="2" t="s">
        <v>387</v>
      </c>
      <c r="F61" s="2" t="s">
        <v>15</v>
      </c>
      <c r="G61" s="2" t="s">
        <v>388</v>
      </c>
      <c r="H61" s="2" t="s">
        <v>389</v>
      </c>
      <c r="I61" s="3" t="s">
        <v>18</v>
      </c>
      <c r="J61" s="2" t="s">
        <v>390</v>
      </c>
    </row>
    <row r="62" customFormat="false" ht="64.15" hidden="false" customHeight="false" outlineLevel="0" collapsed="false">
      <c r="A62" s="2" t="s">
        <v>391</v>
      </c>
      <c r="B62" s="2" t="s">
        <v>392</v>
      </c>
      <c r="C62" s="2" t="s">
        <v>393</v>
      </c>
      <c r="D62" s="2" t="s">
        <v>394</v>
      </c>
      <c r="E62" s="2" t="s">
        <v>395</v>
      </c>
      <c r="F62" s="2" t="s">
        <v>118</v>
      </c>
      <c r="G62" s="2" t="s">
        <v>396</v>
      </c>
      <c r="H62" s="2" t="s">
        <v>397</v>
      </c>
      <c r="I62" s="4" t="s">
        <v>25</v>
      </c>
      <c r="J62" s="2" t="s">
        <v>398</v>
      </c>
    </row>
    <row r="63" customFormat="false" ht="22.35" hidden="false" customHeight="false" outlineLevel="0" collapsed="false">
      <c r="A63" s="2" t="s">
        <v>391</v>
      </c>
      <c r="B63" s="2" t="s">
        <v>399</v>
      </c>
      <c r="C63" s="2" t="s">
        <v>393</v>
      </c>
      <c r="D63" s="2" t="s">
        <v>400</v>
      </c>
      <c r="E63" s="2" t="s">
        <v>401</v>
      </c>
      <c r="F63" s="2" t="s">
        <v>118</v>
      </c>
      <c r="G63" s="2" t="s">
        <v>402</v>
      </c>
      <c r="H63" s="2" t="s">
        <v>37</v>
      </c>
      <c r="I63" s="4" t="s">
        <v>25</v>
      </c>
      <c r="J63" s="2" t="s">
        <v>403</v>
      </c>
    </row>
    <row r="64" customFormat="false" ht="43.25" hidden="false" customHeight="false" outlineLevel="0" collapsed="false">
      <c r="A64" s="2" t="s">
        <v>391</v>
      </c>
      <c r="B64" s="2" t="s">
        <v>166</v>
      </c>
      <c r="C64" s="2" t="s">
        <v>315</v>
      </c>
      <c r="D64" s="2" t="s">
        <v>404</v>
      </c>
      <c r="E64" s="2" t="s">
        <v>405</v>
      </c>
      <c r="F64" s="2" t="s">
        <v>318</v>
      </c>
      <c r="G64" s="2" t="s">
        <v>406</v>
      </c>
      <c r="H64" s="2" t="s">
        <v>407</v>
      </c>
      <c r="I64" s="4" t="s">
        <v>64</v>
      </c>
      <c r="J64" s="2" t="s">
        <v>408</v>
      </c>
    </row>
    <row r="65" customFormat="false" ht="22.35" hidden="false" customHeight="false" outlineLevel="0" collapsed="false">
      <c r="A65" s="2" t="s">
        <v>409</v>
      </c>
      <c r="B65" s="2" t="s">
        <v>410</v>
      </c>
      <c r="C65" s="2" t="s">
        <v>411</v>
      </c>
      <c r="D65" s="2" t="s">
        <v>412</v>
      </c>
      <c r="E65" s="2" t="s">
        <v>413</v>
      </c>
      <c r="F65" s="2" t="s">
        <v>414</v>
      </c>
      <c r="G65" s="2" t="s">
        <v>415</v>
      </c>
      <c r="H65" s="2" t="s">
        <v>381</v>
      </c>
      <c r="I65" s="4" t="s">
        <v>25</v>
      </c>
      <c r="J65" s="2" t="s">
        <v>416</v>
      </c>
    </row>
    <row r="66" customFormat="false" ht="22.35" hidden="false" customHeight="false" outlineLevel="0" collapsed="false">
      <c r="A66" s="2" t="s">
        <v>409</v>
      </c>
      <c r="B66" s="2" t="s">
        <v>417</v>
      </c>
      <c r="C66" s="2" t="s">
        <v>411</v>
      </c>
      <c r="D66" s="2" t="s">
        <v>418</v>
      </c>
      <c r="E66" s="2" t="s">
        <v>419</v>
      </c>
      <c r="F66" s="2" t="s">
        <v>318</v>
      </c>
      <c r="G66" s="2" t="s">
        <v>420</v>
      </c>
      <c r="H66" s="2" t="s">
        <v>333</v>
      </c>
      <c r="I66" s="4" t="s">
        <v>25</v>
      </c>
      <c r="J66" s="2" t="s">
        <v>421</v>
      </c>
    </row>
    <row r="67" customFormat="false" ht="15" hidden="false" customHeight="false" outlineLevel="0" collapsed="false">
      <c r="A67" s="2" t="s">
        <v>409</v>
      </c>
      <c r="B67" s="2" t="s">
        <v>189</v>
      </c>
      <c r="C67" s="2" t="s">
        <v>411</v>
      </c>
      <c r="D67" s="2" t="s">
        <v>422</v>
      </c>
      <c r="E67" s="2" t="s">
        <v>423</v>
      </c>
      <c r="F67" s="2" t="s">
        <v>157</v>
      </c>
      <c r="G67" s="2" t="s">
        <v>424</v>
      </c>
      <c r="H67" s="2" t="s">
        <v>37</v>
      </c>
      <c r="I67" s="3" t="s">
        <v>18</v>
      </c>
      <c r="J67" s="2" t="s">
        <v>425</v>
      </c>
    </row>
    <row r="68" customFormat="false" ht="74.6" hidden="false" customHeight="false" outlineLevel="0" collapsed="false">
      <c r="A68" s="2" t="s">
        <v>426</v>
      </c>
      <c r="B68" s="2" t="s">
        <v>208</v>
      </c>
      <c r="C68" s="2" t="s">
        <v>427</v>
      </c>
      <c r="D68" s="2" t="s">
        <v>428</v>
      </c>
      <c r="E68" s="2" t="s">
        <v>429</v>
      </c>
      <c r="F68" s="2" t="s">
        <v>15</v>
      </c>
      <c r="G68" s="2" t="s">
        <v>430</v>
      </c>
      <c r="H68" s="2" t="s">
        <v>431</v>
      </c>
      <c r="I68" s="4" t="s">
        <v>25</v>
      </c>
      <c r="J68" s="2" t="s">
        <v>432</v>
      </c>
    </row>
    <row r="69" customFormat="false" ht="22.35" hidden="false" customHeight="false" outlineLevel="0" collapsed="false">
      <c r="A69" s="2" t="s">
        <v>426</v>
      </c>
      <c r="B69" s="2" t="s">
        <v>216</v>
      </c>
      <c r="C69" s="2" t="s">
        <v>427</v>
      </c>
      <c r="D69" s="2" t="s">
        <v>433</v>
      </c>
      <c r="E69" s="2" t="s">
        <v>429</v>
      </c>
      <c r="F69" s="2" t="s">
        <v>15</v>
      </c>
      <c r="G69" s="2" t="s">
        <v>434</v>
      </c>
      <c r="H69" s="2" t="s">
        <v>435</v>
      </c>
      <c r="I69" s="4" t="s">
        <v>25</v>
      </c>
      <c r="J69" s="2" t="s">
        <v>436</v>
      </c>
    </row>
    <row r="70" customFormat="false" ht="22.35" hidden="false" customHeight="false" outlineLevel="0" collapsed="false">
      <c r="A70" s="2" t="s">
        <v>426</v>
      </c>
      <c r="B70" s="2" t="s">
        <v>223</v>
      </c>
      <c r="C70" s="2" t="s">
        <v>427</v>
      </c>
      <c r="D70" s="2" t="s">
        <v>437</v>
      </c>
      <c r="E70" s="2" t="s">
        <v>429</v>
      </c>
      <c r="F70" s="2" t="s">
        <v>15</v>
      </c>
      <c r="G70" s="2" t="s">
        <v>438</v>
      </c>
      <c r="H70" s="2" t="s">
        <v>439</v>
      </c>
      <c r="I70" s="4" t="s">
        <v>25</v>
      </c>
      <c r="J70" s="2" t="s">
        <v>440</v>
      </c>
    </row>
  </sheetData>
  <autoFilter ref="A1:J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8" min="7" style="0" width="28"/>
    <col collapsed="false" customWidth="true" hidden="false" outlineLevel="0" max="9" min="9" style="0" width="40"/>
    <col collapsed="false" customWidth="true" hidden="false" outlineLevel="0" max="10" min="10" style="0" width="55"/>
    <col collapsed="false" customWidth="true" hidden="false" outlineLevel="0" max="11" min="11" style="0" width="40"/>
    <col collapsed="false" customWidth="true" hidden="false" outlineLevel="0" max="12" min="12" style="0" width="50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</row>
    <row r="2" customFormat="false" ht="32.8" hidden="false" customHeight="false" outlineLevel="0" collapsed="false">
      <c r="A2" s="2" t="s">
        <v>454</v>
      </c>
      <c r="B2" s="2" t="s">
        <v>455</v>
      </c>
      <c r="C2" s="2" t="s">
        <v>456</v>
      </c>
      <c r="D2" s="3" t="s">
        <v>457</v>
      </c>
      <c r="E2" s="6" t="s">
        <v>458</v>
      </c>
      <c r="F2" s="2" t="s">
        <v>459</v>
      </c>
      <c r="G2" s="2" t="s">
        <v>460</v>
      </c>
      <c r="H2" s="2" t="s">
        <v>461</v>
      </c>
      <c r="I2" s="2" t="s">
        <v>462</v>
      </c>
      <c r="J2" s="2" t="s">
        <v>463</v>
      </c>
      <c r="K2" s="2" t="s">
        <v>464</v>
      </c>
      <c r="L2" s="2" t="s">
        <v>465</v>
      </c>
      <c r="M2" s="2" t="s">
        <v>466</v>
      </c>
    </row>
    <row r="3" customFormat="false" ht="32.8" hidden="false" customHeight="false" outlineLevel="0" collapsed="false">
      <c r="A3" s="2" t="s">
        <v>467</v>
      </c>
      <c r="B3" s="2" t="s">
        <v>468</v>
      </c>
      <c r="C3" s="2" t="s">
        <v>469</v>
      </c>
      <c r="D3" s="3" t="s">
        <v>457</v>
      </c>
      <c r="E3" s="6" t="s">
        <v>458</v>
      </c>
      <c r="F3" s="2" t="s">
        <v>470</v>
      </c>
      <c r="G3" s="2" t="s">
        <v>471</v>
      </c>
      <c r="H3" s="2" t="s">
        <v>472</v>
      </c>
      <c r="I3" s="2" t="s">
        <v>473</v>
      </c>
      <c r="J3" s="2" t="s">
        <v>474</v>
      </c>
      <c r="K3" s="2" t="s">
        <v>475</v>
      </c>
      <c r="L3" s="2" t="s">
        <v>476</v>
      </c>
      <c r="M3" s="2" t="s">
        <v>466</v>
      </c>
    </row>
    <row r="4" customFormat="false" ht="32.8" hidden="false" customHeight="false" outlineLevel="0" collapsed="false">
      <c r="A4" s="2" t="s">
        <v>477</v>
      </c>
      <c r="B4" s="2" t="s">
        <v>478</v>
      </c>
      <c r="C4" s="2" t="s">
        <v>479</v>
      </c>
      <c r="D4" s="3" t="s">
        <v>480</v>
      </c>
      <c r="E4" s="3" t="s">
        <v>481</v>
      </c>
      <c r="F4" s="2" t="s">
        <v>482</v>
      </c>
      <c r="G4" s="2" t="s">
        <v>483</v>
      </c>
      <c r="H4" s="2" t="s">
        <v>484</v>
      </c>
      <c r="I4" s="2" t="s">
        <v>485</v>
      </c>
      <c r="J4" s="2" t="s">
        <v>486</v>
      </c>
      <c r="K4" s="2" t="s">
        <v>487</v>
      </c>
      <c r="L4" s="2" t="s">
        <v>488</v>
      </c>
      <c r="M4" s="2" t="s">
        <v>489</v>
      </c>
    </row>
    <row r="5" customFormat="false" ht="15" hidden="false" customHeight="false" outlineLevel="0" collapsed="false">
      <c r="A5" s="2" t="s">
        <v>490</v>
      </c>
      <c r="B5" s="2" t="s">
        <v>478</v>
      </c>
      <c r="C5" s="2" t="s">
        <v>479</v>
      </c>
      <c r="D5" s="3" t="s">
        <v>480</v>
      </c>
      <c r="E5" s="3" t="s">
        <v>481</v>
      </c>
      <c r="F5" s="2" t="s">
        <v>482</v>
      </c>
      <c r="G5" s="2" t="s">
        <v>491</v>
      </c>
      <c r="H5" s="2" t="s">
        <v>492</v>
      </c>
      <c r="I5" s="2" t="s">
        <v>493</v>
      </c>
      <c r="J5" s="2" t="s">
        <v>494</v>
      </c>
      <c r="K5" s="2" t="s">
        <v>495</v>
      </c>
      <c r="L5" s="2" t="s">
        <v>496</v>
      </c>
      <c r="M5" s="2" t="s">
        <v>497</v>
      </c>
    </row>
    <row r="6" customFormat="false" ht="32.8" hidden="false" customHeight="false" outlineLevel="0" collapsed="false">
      <c r="A6" s="2" t="s">
        <v>498</v>
      </c>
      <c r="B6" s="2" t="s">
        <v>499</v>
      </c>
      <c r="C6" s="2" t="s">
        <v>479</v>
      </c>
      <c r="D6" s="3" t="s">
        <v>480</v>
      </c>
      <c r="E6" s="3" t="s">
        <v>481</v>
      </c>
      <c r="F6" s="2" t="s">
        <v>482</v>
      </c>
      <c r="G6" s="2" t="s">
        <v>500</v>
      </c>
      <c r="H6" s="2" t="s">
        <v>501</v>
      </c>
      <c r="I6" s="2" t="s">
        <v>502</v>
      </c>
      <c r="J6" s="2" t="s">
        <v>503</v>
      </c>
      <c r="K6" s="2" t="s">
        <v>504</v>
      </c>
      <c r="L6" s="2" t="s">
        <v>505</v>
      </c>
      <c r="M6" s="2" t="s">
        <v>506</v>
      </c>
    </row>
    <row r="7" customFormat="false" ht="22.35" hidden="false" customHeight="false" outlineLevel="0" collapsed="false">
      <c r="A7" s="2" t="s">
        <v>507</v>
      </c>
      <c r="B7" s="2" t="s">
        <v>508</v>
      </c>
      <c r="C7" s="2" t="s">
        <v>479</v>
      </c>
      <c r="D7" s="3" t="s">
        <v>480</v>
      </c>
      <c r="E7" s="3" t="s">
        <v>481</v>
      </c>
      <c r="F7" s="2" t="s">
        <v>509</v>
      </c>
      <c r="G7" s="2" t="s">
        <v>510</v>
      </c>
      <c r="H7" s="2" t="s">
        <v>511</v>
      </c>
      <c r="I7" s="2" t="s">
        <v>512</v>
      </c>
      <c r="J7" s="2" t="s">
        <v>513</v>
      </c>
      <c r="K7" s="2" t="s">
        <v>514</v>
      </c>
      <c r="L7" s="2" t="s">
        <v>515</v>
      </c>
      <c r="M7" s="2" t="s">
        <v>516</v>
      </c>
    </row>
    <row r="8" customFormat="false" ht="22.35" hidden="false" customHeight="false" outlineLevel="0" collapsed="false">
      <c r="A8" s="2" t="s">
        <v>517</v>
      </c>
      <c r="B8" s="2" t="s">
        <v>518</v>
      </c>
      <c r="C8" s="2" t="s">
        <v>479</v>
      </c>
      <c r="D8" s="3" t="s">
        <v>480</v>
      </c>
      <c r="E8" s="6" t="s">
        <v>458</v>
      </c>
      <c r="F8" s="2" t="s">
        <v>519</v>
      </c>
      <c r="G8" s="2" t="s">
        <v>520</v>
      </c>
      <c r="H8" s="2" t="s">
        <v>521</v>
      </c>
      <c r="I8" s="2" t="s">
        <v>522</v>
      </c>
      <c r="J8" s="2" t="s">
        <v>523</v>
      </c>
      <c r="K8" s="2" t="s">
        <v>524</v>
      </c>
      <c r="L8" s="2" t="s">
        <v>525</v>
      </c>
      <c r="M8" s="2" t="s">
        <v>526</v>
      </c>
    </row>
    <row r="9" customFormat="false" ht="22.35" hidden="false" customHeight="false" outlineLevel="0" collapsed="false">
      <c r="A9" s="2" t="s">
        <v>527</v>
      </c>
      <c r="B9" s="2" t="s">
        <v>528</v>
      </c>
      <c r="C9" s="2" t="s">
        <v>479</v>
      </c>
      <c r="D9" s="3" t="s">
        <v>480</v>
      </c>
      <c r="E9" s="3" t="s">
        <v>481</v>
      </c>
      <c r="F9" s="2" t="s">
        <v>529</v>
      </c>
      <c r="G9" s="2" t="s">
        <v>530</v>
      </c>
      <c r="H9" s="2" t="s">
        <v>531</v>
      </c>
      <c r="I9" s="2" t="s">
        <v>532</v>
      </c>
      <c r="J9" s="2" t="s">
        <v>533</v>
      </c>
      <c r="K9" s="2" t="s">
        <v>534</v>
      </c>
      <c r="L9" s="2" t="s">
        <v>535</v>
      </c>
      <c r="M9" s="2" t="s">
        <v>536</v>
      </c>
    </row>
    <row r="10" customFormat="false" ht="22.35" hidden="false" customHeight="false" outlineLevel="0" collapsed="false">
      <c r="A10" s="2" t="s">
        <v>537</v>
      </c>
      <c r="B10" s="2" t="s">
        <v>538</v>
      </c>
      <c r="C10" s="2" t="s">
        <v>479</v>
      </c>
      <c r="D10" s="3" t="s">
        <v>480</v>
      </c>
      <c r="E10" s="3" t="s">
        <v>481</v>
      </c>
      <c r="F10" s="2" t="s">
        <v>509</v>
      </c>
      <c r="G10" s="2" t="s">
        <v>539</v>
      </c>
      <c r="H10" s="2" t="s">
        <v>540</v>
      </c>
      <c r="I10" s="2" t="s">
        <v>541</v>
      </c>
      <c r="J10" s="2" t="s">
        <v>542</v>
      </c>
      <c r="K10" s="2" t="s">
        <v>543</v>
      </c>
      <c r="L10" s="2" t="s">
        <v>544</v>
      </c>
      <c r="M10" s="2" t="s">
        <v>545</v>
      </c>
    </row>
    <row r="11" customFormat="false" ht="22.35" hidden="false" customHeight="false" outlineLevel="0" collapsed="false">
      <c r="A11" s="2" t="s">
        <v>546</v>
      </c>
      <c r="B11" s="2" t="s">
        <v>547</v>
      </c>
      <c r="C11" s="2" t="s">
        <v>479</v>
      </c>
      <c r="D11" s="3" t="s">
        <v>480</v>
      </c>
      <c r="E11" s="3" t="s">
        <v>481</v>
      </c>
      <c r="F11" s="2" t="s">
        <v>509</v>
      </c>
      <c r="G11" s="2" t="s">
        <v>548</v>
      </c>
      <c r="H11" s="2" t="s">
        <v>549</v>
      </c>
      <c r="I11" s="2" t="s">
        <v>550</v>
      </c>
      <c r="J11" s="2" t="s">
        <v>551</v>
      </c>
      <c r="K11" s="2" t="s">
        <v>552</v>
      </c>
      <c r="L11" s="2" t="s">
        <v>553</v>
      </c>
      <c r="M11" s="2" t="s">
        <v>554</v>
      </c>
    </row>
    <row r="12" customFormat="false" ht="22.35" hidden="false" customHeight="false" outlineLevel="0" collapsed="false">
      <c r="A12" s="2" t="s">
        <v>555</v>
      </c>
      <c r="B12" s="2" t="s">
        <v>556</v>
      </c>
      <c r="C12" s="2" t="s">
        <v>557</v>
      </c>
      <c r="D12" s="3" t="s">
        <v>480</v>
      </c>
      <c r="E12" s="3" t="s">
        <v>558</v>
      </c>
      <c r="F12" s="2" t="s">
        <v>559</v>
      </c>
      <c r="G12" s="2" t="s">
        <v>560</v>
      </c>
      <c r="H12" s="2" t="s">
        <v>561</v>
      </c>
      <c r="I12" s="2" t="s">
        <v>562</v>
      </c>
      <c r="J12" s="2" t="s">
        <v>563</v>
      </c>
      <c r="K12" s="2" t="s">
        <v>564</v>
      </c>
      <c r="L12" s="2" t="s">
        <v>565</v>
      </c>
      <c r="M12" s="2" t="s">
        <v>566</v>
      </c>
    </row>
    <row r="13" customFormat="false" ht="32.8" hidden="false" customHeight="false" outlineLevel="0" collapsed="false">
      <c r="A13" s="2" t="s">
        <v>333</v>
      </c>
      <c r="B13" s="2" t="s">
        <v>567</v>
      </c>
      <c r="C13" s="2" t="s">
        <v>568</v>
      </c>
      <c r="D13" s="3" t="s">
        <v>480</v>
      </c>
      <c r="E13" s="3" t="s">
        <v>481</v>
      </c>
      <c r="F13" s="2" t="s">
        <v>482</v>
      </c>
      <c r="G13" s="2" t="s">
        <v>569</v>
      </c>
      <c r="H13" s="2" t="s">
        <v>570</v>
      </c>
      <c r="I13" s="2" t="s">
        <v>571</v>
      </c>
      <c r="J13" s="2" t="s">
        <v>572</v>
      </c>
      <c r="K13" s="2" t="s">
        <v>573</v>
      </c>
      <c r="L13" s="2" t="s">
        <v>574</v>
      </c>
      <c r="M13" s="2" t="s">
        <v>575</v>
      </c>
    </row>
    <row r="14" customFormat="false" ht="22.35" hidden="false" customHeight="false" outlineLevel="0" collapsed="false">
      <c r="A14" s="2" t="s">
        <v>576</v>
      </c>
      <c r="B14" s="2" t="s">
        <v>577</v>
      </c>
      <c r="C14" s="2" t="s">
        <v>479</v>
      </c>
      <c r="D14" s="3" t="s">
        <v>480</v>
      </c>
      <c r="E14" s="3" t="s">
        <v>481</v>
      </c>
      <c r="F14" s="2" t="s">
        <v>459</v>
      </c>
      <c r="G14" s="2" t="s">
        <v>578</v>
      </c>
      <c r="H14" s="2" t="s">
        <v>331</v>
      </c>
      <c r="I14" s="2" t="s">
        <v>579</v>
      </c>
      <c r="J14" s="2" t="s">
        <v>580</v>
      </c>
      <c r="K14" s="2" t="s">
        <v>581</v>
      </c>
      <c r="L14" s="2" t="s">
        <v>582</v>
      </c>
      <c r="M14" s="2" t="s">
        <v>583</v>
      </c>
    </row>
    <row r="15" customFormat="false" ht="22.35" hidden="false" customHeight="false" outlineLevel="0" collapsed="false">
      <c r="A15" s="2" t="s">
        <v>584</v>
      </c>
      <c r="B15" s="2" t="s">
        <v>585</v>
      </c>
      <c r="C15" s="2" t="s">
        <v>586</v>
      </c>
      <c r="D15" s="3" t="s">
        <v>480</v>
      </c>
      <c r="E15" s="3" t="s">
        <v>481</v>
      </c>
      <c r="F15" s="2" t="s">
        <v>459</v>
      </c>
      <c r="G15" s="2" t="s">
        <v>587</v>
      </c>
      <c r="H15" s="2" t="s">
        <v>588</v>
      </c>
      <c r="I15" s="2" t="s">
        <v>589</v>
      </c>
      <c r="J15" s="2" t="s">
        <v>590</v>
      </c>
      <c r="K15" s="2" t="s">
        <v>591</v>
      </c>
      <c r="L15" s="2" t="s">
        <v>592</v>
      </c>
      <c r="M15" s="2" t="s">
        <v>593</v>
      </c>
    </row>
    <row r="16" customFormat="false" ht="22.35" hidden="false" customHeight="false" outlineLevel="0" collapsed="false">
      <c r="A16" s="2" t="s">
        <v>594</v>
      </c>
      <c r="B16" s="2" t="s">
        <v>385</v>
      </c>
      <c r="C16" s="2" t="s">
        <v>479</v>
      </c>
      <c r="D16" s="3" t="s">
        <v>480</v>
      </c>
      <c r="E16" s="3" t="s">
        <v>481</v>
      </c>
      <c r="F16" s="2" t="s">
        <v>595</v>
      </c>
      <c r="G16" s="2" t="s">
        <v>596</v>
      </c>
      <c r="H16" s="2" t="s">
        <v>331</v>
      </c>
      <c r="I16" s="2" t="s">
        <v>597</v>
      </c>
      <c r="J16" s="2" t="s">
        <v>598</v>
      </c>
      <c r="K16" s="2" t="s">
        <v>599</v>
      </c>
      <c r="L16" s="2" t="s">
        <v>600</v>
      </c>
      <c r="M16" s="2" t="s">
        <v>601</v>
      </c>
    </row>
    <row r="17" customFormat="false" ht="22.35" hidden="false" customHeight="false" outlineLevel="0" collapsed="false">
      <c r="A17" s="2" t="s">
        <v>602</v>
      </c>
      <c r="B17" s="2" t="s">
        <v>385</v>
      </c>
      <c r="C17" s="2" t="s">
        <v>603</v>
      </c>
      <c r="D17" s="3" t="s">
        <v>480</v>
      </c>
      <c r="E17" s="3" t="s">
        <v>481</v>
      </c>
      <c r="F17" s="2" t="s">
        <v>604</v>
      </c>
      <c r="G17" s="2" t="s">
        <v>605</v>
      </c>
      <c r="H17" s="2" t="s">
        <v>331</v>
      </c>
      <c r="I17" s="2" t="s">
        <v>606</v>
      </c>
      <c r="J17" s="2" t="s">
        <v>607</v>
      </c>
      <c r="K17" s="2" t="s">
        <v>599</v>
      </c>
      <c r="L17" s="2" t="s">
        <v>608</v>
      </c>
      <c r="M17" s="2" t="s">
        <v>609</v>
      </c>
    </row>
    <row r="18" customFormat="false" ht="32.8" hidden="false" customHeight="false" outlineLevel="0" collapsed="false">
      <c r="A18" s="2" t="s">
        <v>610</v>
      </c>
      <c r="B18" s="2" t="s">
        <v>611</v>
      </c>
      <c r="C18" s="2" t="s">
        <v>568</v>
      </c>
      <c r="D18" s="3" t="s">
        <v>480</v>
      </c>
      <c r="E18" s="3" t="s">
        <v>481</v>
      </c>
      <c r="F18" s="2" t="s">
        <v>482</v>
      </c>
      <c r="G18" s="2" t="s">
        <v>612</v>
      </c>
      <c r="H18" s="2" t="s">
        <v>613</v>
      </c>
      <c r="I18" s="2" t="s">
        <v>614</v>
      </c>
      <c r="J18" s="2" t="s">
        <v>615</v>
      </c>
      <c r="K18" s="2" t="s">
        <v>616</v>
      </c>
      <c r="L18" s="2" t="s">
        <v>617</v>
      </c>
      <c r="M18" s="2" t="s">
        <v>618</v>
      </c>
    </row>
    <row r="19" customFormat="false" ht="43.25" hidden="false" customHeight="false" outlineLevel="0" collapsed="false">
      <c r="A19" s="2" t="s">
        <v>619</v>
      </c>
      <c r="B19" s="2" t="s">
        <v>620</v>
      </c>
      <c r="C19" s="2" t="s">
        <v>621</v>
      </c>
      <c r="D19" s="3" t="s">
        <v>480</v>
      </c>
      <c r="E19" s="3" t="s">
        <v>622</v>
      </c>
      <c r="F19" s="2" t="s">
        <v>509</v>
      </c>
      <c r="G19" s="2" t="s">
        <v>623</v>
      </c>
      <c r="H19" s="2" t="s">
        <v>624</v>
      </c>
      <c r="I19" s="2" t="s">
        <v>625</v>
      </c>
      <c r="J19" s="2" t="s">
        <v>626</v>
      </c>
      <c r="K19" s="2" t="s">
        <v>627</v>
      </c>
      <c r="L19" s="2" t="s">
        <v>628</v>
      </c>
      <c r="M19" s="2" t="s">
        <v>629</v>
      </c>
    </row>
    <row r="20" customFormat="false" ht="32.8" hidden="false" customHeight="false" outlineLevel="0" collapsed="false">
      <c r="A20" s="2" t="s">
        <v>630</v>
      </c>
      <c r="B20" s="2" t="s">
        <v>631</v>
      </c>
      <c r="C20" s="2" t="s">
        <v>632</v>
      </c>
      <c r="D20" s="3" t="s">
        <v>480</v>
      </c>
      <c r="E20" s="3" t="s">
        <v>633</v>
      </c>
      <c r="F20" s="2" t="s">
        <v>634</v>
      </c>
      <c r="G20" s="2" t="s">
        <v>635</v>
      </c>
      <c r="H20" s="2" t="s">
        <v>636</v>
      </c>
      <c r="I20" s="2" t="s">
        <v>637</v>
      </c>
      <c r="J20" s="2" t="s">
        <v>638</v>
      </c>
      <c r="K20" s="2" t="s">
        <v>639</v>
      </c>
      <c r="L20" s="2" t="s">
        <v>640</v>
      </c>
      <c r="M20" s="2" t="s">
        <v>641</v>
      </c>
    </row>
    <row r="21" customFormat="false" ht="53.7" hidden="false" customHeight="false" outlineLevel="0" collapsed="false">
      <c r="A21" s="2" t="s">
        <v>642</v>
      </c>
      <c r="B21" s="2" t="s">
        <v>643</v>
      </c>
      <c r="C21" s="2" t="s">
        <v>644</v>
      </c>
      <c r="D21" s="3" t="s">
        <v>480</v>
      </c>
      <c r="E21" s="3" t="s">
        <v>633</v>
      </c>
      <c r="F21" s="2" t="s">
        <v>645</v>
      </c>
      <c r="G21" s="2" t="s">
        <v>646</v>
      </c>
      <c r="H21" s="2" t="s">
        <v>647</v>
      </c>
      <c r="I21" s="2" t="s">
        <v>648</v>
      </c>
      <c r="J21" s="2" t="s">
        <v>649</v>
      </c>
      <c r="K21" s="2" t="s">
        <v>650</v>
      </c>
      <c r="L21" s="2" t="s">
        <v>651</v>
      </c>
      <c r="M21" s="2" t="s">
        <v>652</v>
      </c>
    </row>
    <row r="22" customFormat="false" ht="15" hidden="false" customHeight="false" outlineLevel="0" collapsed="false">
      <c r="A22" s="2" t="s">
        <v>653</v>
      </c>
      <c r="B22" s="2" t="s">
        <v>654</v>
      </c>
      <c r="C22" s="2" t="s">
        <v>655</v>
      </c>
      <c r="D22" s="4" t="s">
        <v>656</v>
      </c>
      <c r="E22" s="4" t="s">
        <v>657</v>
      </c>
      <c r="F22" s="2" t="s">
        <v>459</v>
      </c>
      <c r="G22" s="2" t="s">
        <v>658</v>
      </c>
      <c r="H22" s="2" t="s">
        <v>659</v>
      </c>
      <c r="I22" s="2" t="s">
        <v>660</v>
      </c>
      <c r="J22" s="2" t="s">
        <v>661</v>
      </c>
      <c r="K22" s="2" t="s">
        <v>662</v>
      </c>
      <c r="L22" s="2" t="s">
        <v>663</v>
      </c>
      <c r="M22" s="2" t="s">
        <v>466</v>
      </c>
    </row>
    <row r="23" customFormat="false" ht="22.35" hidden="false" customHeight="false" outlineLevel="0" collapsed="false">
      <c r="A23" s="2" t="s">
        <v>664</v>
      </c>
      <c r="B23" s="2" t="s">
        <v>665</v>
      </c>
      <c r="C23" s="2" t="s">
        <v>666</v>
      </c>
      <c r="D23" s="4" t="s">
        <v>656</v>
      </c>
      <c r="E23" s="4" t="s">
        <v>657</v>
      </c>
      <c r="F23" s="2" t="s">
        <v>459</v>
      </c>
      <c r="G23" s="2" t="s">
        <v>667</v>
      </c>
      <c r="H23" s="2" t="s">
        <v>668</v>
      </c>
      <c r="I23" s="2" t="s">
        <v>669</v>
      </c>
      <c r="J23" s="2" t="s">
        <v>670</v>
      </c>
      <c r="K23" s="2" t="s">
        <v>671</v>
      </c>
      <c r="L23" s="2" t="s">
        <v>672</v>
      </c>
      <c r="M23" s="2" t="s">
        <v>466</v>
      </c>
    </row>
    <row r="24" customFormat="false" ht="15" hidden="false" customHeight="false" outlineLevel="0" collapsed="false">
      <c r="A24" s="2" t="s">
        <v>673</v>
      </c>
      <c r="B24" s="2" t="s">
        <v>674</v>
      </c>
      <c r="C24" s="2" t="s">
        <v>675</v>
      </c>
      <c r="D24" s="4" t="s">
        <v>676</v>
      </c>
      <c r="E24" s="4" t="s">
        <v>657</v>
      </c>
      <c r="F24" s="2" t="s">
        <v>677</v>
      </c>
      <c r="G24" s="2" t="s">
        <v>678</v>
      </c>
      <c r="H24" s="2" t="s">
        <v>679</v>
      </c>
      <c r="I24" s="2" t="s">
        <v>680</v>
      </c>
      <c r="J24" s="2" t="s">
        <v>681</v>
      </c>
      <c r="K24" s="2" t="s">
        <v>682</v>
      </c>
      <c r="L24" s="2" t="s">
        <v>683</v>
      </c>
      <c r="M24" s="2" t="s">
        <v>684</v>
      </c>
    </row>
    <row r="25" customFormat="false" ht="22.35" hidden="false" customHeight="false" outlineLevel="0" collapsed="false">
      <c r="A25" s="2" t="s">
        <v>685</v>
      </c>
      <c r="B25" s="2" t="s">
        <v>686</v>
      </c>
      <c r="C25" s="2" t="s">
        <v>687</v>
      </c>
      <c r="D25" s="4" t="s">
        <v>688</v>
      </c>
      <c r="E25" s="4" t="s">
        <v>657</v>
      </c>
      <c r="F25" s="2" t="s">
        <v>459</v>
      </c>
      <c r="G25" s="2" t="s">
        <v>689</v>
      </c>
      <c r="H25" s="2" t="s">
        <v>613</v>
      </c>
      <c r="I25" s="2" t="s">
        <v>690</v>
      </c>
      <c r="J25" s="2" t="s">
        <v>691</v>
      </c>
      <c r="K25" s="2" t="s">
        <v>692</v>
      </c>
      <c r="L25" s="2" t="s">
        <v>693</v>
      </c>
      <c r="M25" s="2" t="s">
        <v>694</v>
      </c>
    </row>
    <row r="26" customFormat="false" ht="22.35" hidden="false" customHeight="false" outlineLevel="0" collapsed="false">
      <c r="A26" s="2" t="s">
        <v>695</v>
      </c>
      <c r="B26" s="2" t="s">
        <v>696</v>
      </c>
      <c r="C26" s="2" t="s">
        <v>697</v>
      </c>
      <c r="D26" s="5" t="s">
        <v>698</v>
      </c>
      <c r="E26" s="4" t="s">
        <v>657</v>
      </c>
      <c r="F26" s="2" t="s">
        <v>459</v>
      </c>
      <c r="G26" s="2" t="s">
        <v>605</v>
      </c>
      <c r="H26" s="2" t="s">
        <v>331</v>
      </c>
      <c r="I26" s="2" t="s">
        <v>699</v>
      </c>
      <c r="J26" s="2" t="s">
        <v>700</v>
      </c>
      <c r="K26" s="2" t="s">
        <v>701</v>
      </c>
      <c r="L26" s="2" t="s">
        <v>702</v>
      </c>
      <c r="M26" s="2" t="s">
        <v>703</v>
      </c>
    </row>
    <row r="27" customFormat="false" ht="22.35" hidden="false" customHeight="false" outlineLevel="0" collapsed="false">
      <c r="A27" s="2" t="s">
        <v>704</v>
      </c>
      <c r="B27" s="2" t="s">
        <v>705</v>
      </c>
      <c r="C27" s="2" t="s">
        <v>706</v>
      </c>
      <c r="D27" s="5" t="s">
        <v>707</v>
      </c>
      <c r="E27" s="5" t="s">
        <v>708</v>
      </c>
      <c r="F27" s="2" t="s">
        <v>459</v>
      </c>
      <c r="G27" s="2" t="s">
        <v>605</v>
      </c>
      <c r="H27" s="2" t="s">
        <v>709</v>
      </c>
      <c r="I27" s="2" t="s">
        <v>710</v>
      </c>
      <c r="J27" s="2" t="s">
        <v>711</v>
      </c>
      <c r="K27" s="2" t="s">
        <v>712</v>
      </c>
      <c r="L27" s="2" t="s">
        <v>713</v>
      </c>
      <c r="M27" s="2" t="s">
        <v>714</v>
      </c>
    </row>
  </sheetData>
  <autoFilter ref="A1:M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7" t="s">
        <v>715</v>
      </c>
      <c r="B1" s="7"/>
      <c r="C1" s="7"/>
      <c r="D1" s="7"/>
      <c r="E1" s="7"/>
    </row>
    <row r="2" customFormat="false" ht="15" hidden="false" customHeight="false" outlineLevel="0" collapsed="false">
      <c r="A2" s="8" t="s">
        <v>716</v>
      </c>
      <c r="B2" s="8"/>
      <c r="C2" s="8"/>
      <c r="D2" s="8"/>
      <c r="E2" s="8"/>
    </row>
    <row r="4" customFormat="false" ht="15" hidden="false" customHeight="false" outlineLevel="0" collapsed="false">
      <c r="A4" s="1" t="s">
        <v>717</v>
      </c>
      <c r="B4" s="1" t="s">
        <v>718</v>
      </c>
      <c r="C4" s="1" t="s">
        <v>719</v>
      </c>
      <c r="D4" s="1" t="s">
        <v>720</v>
      </c>
      <c r="E4" s="1" t="s">
        <v>721</v>
      </c>
    </row>
    <row r="5" customFormat="false" ht="15" hidden="false" customHeight="false" outlineLevel="0" collapsed="false">
      <c r="A5" s="9" t="s">
        <v>722</v>
      </c>
      <c r="B5" s="9"/>
      <c r="C5" s="9"/>
      <c r="D5" s="9"/>
      <c r="E5" s="9"/>
    </row>
    <row r="6" customFormat="false" ht="22.35" hidden="false" customHeight="false" outlineLevel="0" collapsed="false">
      <c r="A6" s="2" t="s">
        <v>454</v>
      </c>
      <c r="B6" s="10" t="n">
        <v>29</v>
      </c>
      <c r="C6" s="2" t="s">
        <v>723</v>
      </c>
      <c r="D6" s="2" t="s">
        <v>724</v>
      </c>
      <c r="E6" s="2" t="s">
        <v>725</v>
      </c>
    </row>
    <row r="7" customFormat="false" ht="22.35" hidden="false" customHeight="false" outlineLevel="0" collapsed="false">
      <c r="A7" s="2" t="s">
        <v>467</v>
      </c>
      <c r="B7" s="10" t="n">
        <v>29</v>
      </c>
      <c r="C7" s="2" t="s">
        <v>726</v>
      </c>
      <c r="D7" s="2" t="s">
        <v>727</v>
      </c>
      <c r="E7" s="2" t="s">
        <v>728</v>
      </c>
    </row>
    <row r="8" customFormat="false" ht="15" hidden="false" customHeight="false" outlineLevel="0" collapsed="false">
      <c r="A8" s="9" t="s">
        <v>729</v>
      </c>
      <c r="B8" s="9"/>
      <c r="C8" s="9"/>
      <c r="D8" s="9"/>
      <c r="E8" s="9"/>
    </row>
    <row r="9" customFormat="false" ht="22.35" hidden="false" customHeight="false" outlineLevel="0" collapsed="false">
      <c r="A9" s="2" t="s">
        <v>477</v>
      </c>
      <c r="B9" s="10" t="n">
        <v>0</v>
      </c>
      <c r="C9" s="2" t="s">
        <v>730</v>
      </c>
      <c r="D9" s="2" t="s">
        <v>731</v>
      </c>
      <c r="E9" s="2" t="s">
        <v>732</v>
      </c>
    </row>
    <row r="10" customFormat="false" ht="15" hidden="false" customHeight="false" outlineLevel="0" collapsed="false">
      <c r="A10" s="2" t="s">
        <v>490</v>
      </c>
      <c r="B10" s="10" t="n">
        <v>0</v>
      </c>
      <c r="C10" s="2" t="s">
        <v>733</v>
      </c>
      <c r="D10" s="2" t="s">
        <v>734</v>
      </c>
      <c r="E10" s="2" t="s">
        <v>735</v>
      </c>
    </row>
    <row r="11" customFormat="false" ht="22.35" hidden="false" customHeight="false" outlineLevel="0" collapsed="false">
      <c r="A11" s="2" t="s">
        <v>498</v>
      </c>
      <c r="B11" s="10" t="n">
        <v>0</v>
      </c>
      <c r="C11" s="2" t="s">
        <v>736</v>
      </c>
      <c r="D11" s="2" t="s">
        <v>737</v>
      </c>
      <c r="E11" s="2" t="s">
        <v>738</v>
      </c>
    </row>
    <row r="12" customFormat="false" ht="15" hidden="false" customHeight="false" outlineLevel="0" collapsed="false">
      <c r="A12" s="2" t="s">
        <v>507</v>
      </c>
      <c r="B12" s="10" t="n">
        <v>0</v>
      </c>
      <c r="C12" s="2" t="s">
        <v>739</v>
      </c>
      <c r="D12" s="2" t="s">
        <v>740</v>
      </c>
      <c r="E12" s="2" t="s">
        <v>741</v>
      </c>
    </row>
    <row r="13" customFormat="false" ht="22.35" hidden="false" customHeight="false" outlineLevel="0" collapsed="false">
      <c r="A13" s="2" t="s">
        <v>517</v>
      </c>
      <c r="B13" s="10" t="n">
        <v>0</v>
      </c>
      <c r="C13" s="2" t="s">
        <v>742</v>
      </c>
      <c r="D13" s="2" t="s">
        <v>743</v>
      </c>
      <c r="E13" s="2" t="s">
        <v>744</v>
      </c>
    </row>
    <row r="14" customFormat="false" ht="15" hidden="false" customHeight="false" outlineLevel="0" collapsed="false">
      <c r="A14" s="2" t="s">
        <v>745</v>
      </c>
      <c r="B14" s="10" t="n">
        <v>0</v>
      </c>
      <c r="C14" s="2" t="s">
        <v>746</v>
      </c>
      <c r="D14" s="2" t="s">
        <v>747</v>
      </c>
      <c r="E14" s="2" t="s">
        <v>748</v>
      </c>
    </row>
    <row r="15" customFormat="false" ht="15" hidden="false" customHeight="false" outlineLevel="0" collapsed="false">
      <c r="A15" s="2" t="s">
        <v>537</v>
      </c>
      <c r="B15" s="10" t="n">
        <v>0</v>
      </c>
      <c r="C15" s="2" t="s">
        <v>749</v>
      </c>
      <c r="D15" s="2" t="s">
        <v>750</v>
      </c>
      <c r="E15" s="2" t="s">
        <v>751</v>
      </c>
    </row>
    <row r="16" customFormat="false" ht="15" hidden="false" customHeight="false" outlineLevel="0" collapsed="false">
      <c r="A16" s="2" t="s">
        <v>546</v>
      </c>
      <c r="B16" s="10" t="n">
        <v>0</v>
      </c>
      <c r="C16" s="2" t="s">
        <v>752</v>
      </c>
      <c r="D16" s="2" t="s">
        <v>753</v>
      </c>
      <c r="E16" s="2" t="s">
        <v>754</v>
      </c>
    </row>
    <row r="17" customFormat="false" ht="15" hidden="false" customHeight="false" outlineLevel="0" collapsed="false">
      <c r="A17" s="9" t="s">
        <v>755</v>
      </c>
      <c r="B17" s="9"/>
      <c r="C17" s="9"/>
      <c r="D17" s="9"/>
      <c r="E17" s="9"/>
    </row>
    <row r="18" customFormat="false" ht="15" hidden="false" customHeight="false" outlineLevel="0" collapsed="false">
      <c r="A18" s="2" t="s">
        <v>756</v>
      </c>
      <c r="B18" s="10" t="n">
        <v>0</v>
      </c>
      <c r="C18" s="2" t="s">
        <v>757</v>
      </c>
      <c r="D18" s="2" t="s">
        <v>758</v>
      </c>
      <c r="E18" s="2" t="s">
        <v>759</v>
      </c>
    </row>
    <row r="19" customFormat="false" ht="22.35" hidden="false" customHeight="false" outlineLevel="0" collapsed="false">
      <c r="A19" s="2" t="s">
        <v>193</v>
      </c>
      <c r="B19" s="10" t="n">
        <v>0</v>
      </c>
      <c r="C19" s="2" t="s">
        <v>760</v>
      </c>
      <c r="D19" s="2" t="s">
        <v>761</v>
      </c>
      <c r="E19" s="2" t="s">
        <v>762</v>
      </c>
    </row>
    <row r="20" customFormat="false" ht="22.35" hidden="false" customHeight="false" outlineLevel="0" collapsed="false">
      <c r="A20" s="2" t="s">
        <v>763</v>
      </c>
      <c r="B20" s="10" t="n">
        <v>0</v>
      </c>
      <c r="C20" s="2" t="s">
        <v>764</v>
      </c>
      <c r="D20" s="2" t="s">
        <v>765</v>
      </c>
      <c r="E20" s="2" t="s">
        <v>766</v>
      </c>
    </row>
    <row r="21" customFormat="false" ht="15" hidden="false" customHeight="false" outlineLevel="0" collapsed="false">
      <c r="A21" s="2" t="s">
        <v>576</v>
      </c>
      <c r="B21" s="10" t="n">
        <v>0</v>
      </c>
      <c r="C21" s="2" t="s">
        <v>767</v>
      </c>
      <c r="D21" s="2" t="s">
        <v>768</v>
      </c>
      <c r="E21" s="2" t="s">
        <v>769</v>
      </c>
    </row>
    <row r="22" customFormat="false" ht="15" hidden="false" customHeight="false" outlineLevel="0" collapsed="false">
      <c r="A22" s="2" t="s">
        <v>770</v>
      </c>
      <c r="B22" s="10" t="n">
        <v>0</v>
      </c>
      <c r="C22" s="2" t="s">
        <v>771</v>
      </c>
      <c r="D22" s="2" t="s">
        <v>772</v>
      </c>
      <c r="E22" s="2" t="s">
        <v>773</v>
      </c>
    </row>
    <row r="23" customFormat="false" ht="15" hidden="false" customHeight="false" outlineLevel="0" collapsed="false">
      <c r="A23" s="2" t="s">
        <v>594</v>
      </c>
      <c r="B23" s="10" t="n">
        <v>0</v>
      </c>
      <c r="C23" s="2" t="s">
        <v>774</v>
      </c>
      <c r="D23" s="2" t="s">
        <v>775</v>
      </c>
      <c r="E23" s="2" t="s">
        <v>776</v>
      </c>
    </row>
    <row r="24" customFormat="false" ht="15" hidden="false" customHeight="false" outlineLevel="0" collapsed="false">
      <c r="A24" s="2" t="s">
        <v>602</v>
      </c>
      <c r="B24" s="10" t="n">
        <v>0</v>
      </c>
      <c r="C24" s="2" t="s">
        <v>774</v>
      </c>
      <c r="D24" s="2" t="s">
        <v>777</v>
      </c>
      <c r="E24" s="2" t="s">
        <v>778</v>
      </c>
    </row>
    <row r="25" customFormat="false" ht="32.8" hidden="false" customHeight="false" outlineLevel="0" collapsed="false">
      <c r="A25" s="2" t="s">
        <v>619</v>
      </c>
      <c r="B25" s="10" t="n">
        <v>0</v>
      </c>
      <c r="C25" s="2" t="s">
        <v>779</v>
      </c>
      <c r="D25" s="2" t="s">
        <v>780</v>
      </c>
      <c r="E25" s="2" t="s">
        <v>781</v>
      </c>
    </row>
    <row r="26" customFormat="false" ht="15" hidden="false" customHeight="false" outlineLevel="0" collapsed="false">
      <c r="A26" s="9" t="s">
        <v>782</v>
      </c>
      <c r="B26" s="9"/>
      <c r="C26" s="9"/>
      <c r="D26" s="9"/>
      <c r="E26" s="9"/>
    </row>
    <row r="27" customFormat="false" ht="32.8" hidden="false" customHeight="false" outlineLevel="0" collapsed="false">
      <c r="A27" s="2" t="s">
        <v>783</v>
      </c>
      <c r="B27" s="10" t="n">
        <v>0</v>
      </c>
      <c r="C27" s="2" t="s">
        <v>784</v>
      </c>
      <c r="D27" s="2" t="s">
        <v>785</v>
      </c>
      <c r="E27" s="2" t="s">
        <v>786</v>
      </c>
    </row>
    <row r="28" customFormat="false" ht="32.8" hidden="false" customHeight="false" outlineLevel="0" collapsed="false">
      <c r="A28" s="2" t="s">
        <v>787</v>
      </c>
      <c r="B28" s="10" t="n">
        <v>0</v>
      </c>
      <c r="C28" s="2" t="s">
        <v>788</v>
      </c>
      <c r="D28" s="2" t="s">
        <v>789</v>
      </c>
      <c r="E28" s="2" t="s">
        <v>790</v>
      </c>
    </row>
    <row r="29" customFormat="false" ht="15" hidden="false" customHeight="false" outlineLevel="0" collapsed="false">
      <c r="A29" s="9" t="s">
        <v>791</v>
      </c>
      <c r="B29" s="9"/>
      <c r="C29" s="9"/>
      <c r="D29" s="9"/>
      <c r="E29" s="9"/>
    </row>
    <row r="30" customFormat="false" ht="22.35" hidden="false" customHeight="false" outlineLevel="0" collapsed="false">
      <c r="A30" s="2" t="s">
        <v>792</v>
      </c>
      <c r="B30" s="11" t="n">
        <v>0</v>
      </c>
      <c r="C30" s="2" t="s">
        <v>793</v>
      </c>
      <c r="D30" s="2" t="s">
        <v>794</v>
      </c>
      <c r="E30" s="2" t="s">
        <v>795</v>
      </c>
    </row>
    <row r="31" customFormat="false" ht="15" hidden="false" customHeight="false" outlineLevel="0" collapsed="false">
      <c r="A31" s="2" t="s">
        <v>796</v>
      </c>
      <c r="B31" s="11" t="n">
        <v>0</v>
      </c>
      <c r="C31" s="2" t="s">
        <v>797</v>
      </c>
      <c r="D31" s="2" t="s">
        <v>798</v>
      </c>
      <c r="E31" s="2" t="s">
        <v>799</v>
      </c>
    </row>
    <row r="32" customFormat="false" ht="15" hidden="false" customHeight="false" outlineLevel="0" collapsed="false">
      <c r="A32" s="2" t="s">
        <v>800</v>
      </c>
      <c r="B32" s="11" t="n">
        <v>0</v>
      </c>
      <c r="C32" s="2" t="s">
        <v>801</v>
      </c>
      <c r="D32" s="2" t="s">
        <v>802</v>
      </c>
      <c r="E32" s="2" t="s">
        <v>803</v>
      </c>
    </row>
    <row r="33" customFormat="false" ht="15" hidden="false" customHeight="false" outlineLevel="0" collapsed="false">
      <c r="A33" s="2" t="s">
        <v>804</v>
      </c>
      <c r="B33" s="11" t="n">
        <v>0</v>
      </c>
      <c r="C33" s="2" t="s">
        <v>805</v>
      </c>
      <c r="D33" s="2" t="s">
        <v>806</v>
      </c>
      <c r="E33" s="2" t="s">
        <v>807</v>
      </c>
    </row>
    <row r="34" customFormat="false" ht="15" hidden="false" customHeight="false" outlineLevel="0" collapsed="false">
      <c r="A34" s="2" t="s">
        <v>808</v>
      </c>
      <c r="B34" s="11" t="n">
        <v>0</v>
      </c>
      <c r="C34" s="2" t="s">
        <v>809</v>
      </c>
      <c r="D34" s="2" t="s">
        <v>810</v>
      </c>
      <c r="E34" s="2" t="s">
        <v>811</v>
      </c>
    </row>
    <row r="35" customFormat="false" ht="15" hidden="false" customHeight="false" outlineLevel="0" collapsed="false">
      <c r="A35" s="2" t="s">
        <v>812</v>
      </c>
      <c r="B35" s="11" t="n">
        <v>0</v>
      </c>
      <c r="C35" s="2" t="s">
        <v>813</v>
      </c>
      <c r="D35" s="2" t="s">
        <v>814</v>
      </c>
      <c r="E35" s="2" t="s">
        <v>815</v>
      </c>
    </row>
    <row r="36" customFormat="false" ht="15" hidden="false" customHeight="false" outlineLevel="0" collapsed="false">
      <c r="A36" s="2" t="s">
        <v>816</v>
      </c>
      <c r="B36" s="11" t="n">
        <v>0</v>
      </c>
      <c r="C36" s="2" t="s">
        <v>817</v>
      </c>
      <c r="D36" s="2" t="s">
        <v>818</v>
      </c>
      <c r="E36" s="2" t="s">
        <v>819</v>
      </c>
    </row>
    <row r="37" customFormat="false" ht="15" hidden="false" customHeight="false" outlineLevel="0" collapsed="false">
      <c r="A37" s="2" t="s">
        <v>820</v>
      </c>
      <c r="B37" s="11" t="n">
        <v>0</v>
      </c>
      <c r="C37" s="2" t="s">
        <v>821</v>
      </c>
      <c r="D37" s="2" t="s">
        <v>822</v>
      </c>
      <c r="E37" s="2" t="s">
        <v>823</v>
      </c>
    </row>
    <row r="38" customFormat="false" ht="15" hidden="false" customHeight="false" outlineLevel="0" collapsed="false">
      <c r="A38" s="2" t="s">
        <v>824</v>
      </c>
      <c r="B38" s="11" t="n">
        <v>0</v>
      </c>
      <c r="C38" s="2" t="s">
        <v>825</v>
      </c>
      <c r="D38" s="2" t="s">
        <v>826</v>
      </c>
      <c r="E38" s="2" t="s">
        <v>827</v>
      </c>
    </row>
    <row r="40" customFormat="false" ht="15" hidden="false" customHeight="false" outlineLevel="0" collapsed="false">
      <c r="A40" s="12" t="s">
        <v>828</v>
      </c>
      <c r="B40" s="13" t="n">
        <f aca="false">SUM(B6:B7)</f>
        <v>58</v>
      </c>
      <c r="C40" s="14" t="s">
        <v>829</v>
      </c>
    </row>
    <row r="41" customFormat="false" ht="15" hidden="false" customHeight="false" outlineLevel="0" collapsed="false">
      <c r="A41" s="15" t="s">
        <v>830</v>
      </c>
      <c r="B41" s="16" t="n">
        <f aca="false">B40*0.8</f>
        <v>46.4</v>
      </c>
      <c r="C41" s="14" t="s">
        <v>831</v>
      </c>
    </row>
    <row r="42" customFormat="false" ht="15" hidden="false" customHeight="false" outlineLevel="0" collapsed="false">
      <c r="A42" s="15" t="s">
        <v>832</v>
      </c>
      <c r="B42" s="17" t="n">
        <f aca="false">B40*12</f>
        <v>696</v>
      </c>
    </row>
    <row r="43" customFormat="false" ht="15" hidden="false" customHeight="false" outlineLevel="0" collapsed="false">
      <c r="A43" s="15" t="s">
        <v>833</v>
      </c>
      <c r="B43" s="16" t="n">
        <f aca="false">B41*12</f>
        <v>556.8</v>
      </c>
      <c r="C43" s="14" t="s">
        <v>834</v>
      </c>
    </row>
    <row r="45" customFormat="false" ht="15" hidden="false" customHeight="false" outlineLevel="0" collapsed="false">
      <c r="A45" s="9" t="s">
        <v>835</v>
      </c>
      <c r="B45" s="9"/>
      <c r="C45" s="9"/>
      <c r="D45" s="9"/>
      <c r="E45" s="9"/>
    </row>
    <row r="46" customFormat="false" ht="22.35" hidden="false" customHeight="false" outlineLevel="0" collapsed="false">
      <c r="A46" s="2" t="s">
        <v>824</v>
      </c>
      <c r="B46" s="10" t="n">
        <v>0</v>
      </c>
      <c r="C46" s="2" t="s">
        <v>836</v>
      </c>
      <c r="D46" s="2" t="s">
        <v>837</v>
      </c>
      <c r="E46" s="2" t="s">
        <v>838</v>
      </c>
    </row>
    <row r="47" customFormat="false" ht="22.35" hidden="false" customHeight="false" outlineLevel="0" collapsed="false">
      <c r="A47" s="2" t="s">
        <v>839</v>
      </c>
      <c r="B47" s="10" t="n">
        <v>0</v>
      </c>
      <c r="C47" s="2" t="s">
        <v>840</v>
      </c>
      <c r="D47" s="2" t="s">
        <v>841</v>
      </c>
      <c r="E47" s="2" t="s">
        <v>842</v>
      </c>
    </row>
    <row r="48" customFormat="false" ht="43.25" hidden="false" customHeight="false" outlineLevel="0" collapsed="false">
      <c r="A48" s="2" t="s">
        <v>843</v>
      </c>
      <c r="B48" s="10" t="n">
        <v>0</v>
      </c>
      <c r="C48" s="2" t="s">
        <v>844</v>
      </c>
      <c r="D48" s="2" t="s">
        <v>845</v>
      </c>
      <c r="E48" s="2" t="s">
        <v>846</v>
      </c>
    </row>
    <row r="49" customFormat="false" ht="32.8" hidden="false" customHeight="false" outlineLevel="0" collapsed="false">
      <c r="A49" s="2" t="s">
        <v>847</v>
      </c>
      <c r="B49" s="10" t="n">
        <v>0</v>
      </c>
      <c r="C49" s="2" t="s">
        <v>848</v>
      </c>
      <c r="D49" s="2" t="s">
        <v>849</v>
      </c>
      <c r="E49" s="2" t="s">
        <v>850</v>
      </c>
    </row>
    <row r="50" customFormat="false" ht="15" hidden="false" customHeight="false" outlineLevel="0" collapsed="false">
      <c r="A50" s="2" t="s">
        <v>851</v>
      </c>
      <c r="B50" s="10" t="n">
        <v>0</v>
      </c>
      <c r="C50" s="2" t="s">
        <v>852</v>
      </c>
      <c r="D50" s="2" t="s">
        <v>534</v>
      </c>
      <c r="E50" s="2" t="s">
        <v>853</v>
      </c>
    </row>
    <row r="52" customFormat="false" ht="15" hidden="false" customHeight="false" outlineLevel="0" collapsed="false">
      <c r="A52" s="9" t="s">
        <v>854</v>
      </c>
      <c r="B52" s="9"/>
      <c r="C52" s="9"/>
      <c r="D52" s="9"/>
      <c r="E52" s="9"/>
    </row>
    <row r="53" customFormat="false" ht="32.8" hidden="false" customHeight="false" outlineLevel="0" collapsed="false">
      <c r="A53" s="2" t="s">
        <v>855</v>
      </c>
      <c r="B53" s="18" t="n">
        <v>59</v>
      </c>
      <c r="C53" s="2" t="s">
        <v>856</v>
      </c>
      <c r="D53" s="2" t="s">
        <v>857</v>
      </c>
      <c r="E53" s="2" t="s">
        <v>858</v>
      </c>
    </row>
    <row r="54" customFormat="false" ht="22.35" hidden="false" customHeight="false" outlineLevel="0" collapsed="false">
      <c r="A54" s="2" t="s">
        <v>859</v>
      </c>
      <c r="B54" s="18" t="n">
        <v>79</v>
      </c>
      <c r="C54" s="2" t="s">
        <v>860</v>
      </c>
      <c r="D54" s="2" t="s">
        <v>861</v>
      </c>
      <c r="E54" s="2" t="s">
        <v>862</v>
      </c>
    </row>
    <row r="55" customFormat="false" ht="15" hidden="false" customHeight="false" outlineLevel="0" collapsed="false">
      <c r="A55" s="2" t="s">
        <v>863</v>
      </c>
      <c r="B55" s="18" t="n">
        <v>79</v>
      </c>
      <c r="C55" s="2" t="s">
        <v>864</v>
      </c>
      <c r="D55" s="2" t="s">
        <v>865</v>
      </c>
      <c r="E55" s="2" t="s">
        <v>866</v>
      </c>
    </row>
    <row r="56" customFormat="false" ht="22.35" hidden="false" customHeight="false" outlineLevel="0" collapsed="false">
      <c r="A56" s="2" t="s">
        <v>867</v>
      </c>
      <c r="B56" s="18" t="n">
        <v>125</v>
      </c>
      <c r="C56" s="2" t="s">
        <v>868</v>
      </c>
      <c r="D56" s="2" t="s">
        <v>869</v>
      </c>
      <c r="E56" s="2" t="s">
        <v>870</v>
      </c>
    </row>
    <row r="57" customFormat="false" ht="15" hidden="false" customHeight="false" outlineLevel="0" collapsed="false">
      <c r="A57" s="2" t="s">
        <v>871</v>
      </c>
      <c r="B57" s="18" t="n">
        <v>25</v>
      </c>
      <c r="C57" s="2" t="s">
        <v>872</v>
      </c>
      <c r="D57" s="2" t="s">
        <v>873</v>
      </c>
      <c r="E57" s="2" t="s">
        <v>874</v>
      </c>
    </row>
  </sheetData>
  <mergeCells count="9">
    <mergeCell ref="A1:E1"/>
    <mergeCell ref="A2:E2"/>
    <mergeCell ref="A5:E5"/>
    <mergeCell ref="A8:E8"/>
    <mergeCell ref="A17:E17"/>
    <mergeCell ref="A26:E26"/>
    <mergeCell ref="A29:E29"/>
    <mergeCell ref="A45:E45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" t="s">
        <v>875</v>
      </c>
      <c r="B1" s="1" t="s">
        <v>876</v>
      </c>
      <c r="C1" s="1" t="s">
        <v>877</v>
      </c>
      <c r="D1" s="1" t="s">
        <v>878</v>
      </c>
      <c r="E1" s="1" t="s">
        <v>879</v>
      </c>
      <c r="F1" s="1" t="s">
        <v>880</v>
      </c>
      <c r="G1" s="1" t="s">
        <v>881</v>
      </c>
      <c r="H1" s="1" t="s">
        <v>882</v>
      </c>
    </row>
    <row r="2" customFormat="false" ht="43.25" hidden="false" customHeight="false" outlineLevel="0" collapsed="false">
      <c r="A2" s="2" t="s">
        <v>52</v>
      </c>
      <c r="B2" s="2" t="s">
        <v>53</v>
      </c>
      <c r="C2" s="2" t="s">
        <v>883</v>
      </c>
      <c r="D2" s="2" t="s">
        <v>884</v>
      </c>
      <c r="E2" s="2" t="s">
        <v>885</v>
      </c>
      <c r="F2" s="2" t="s">
        <v>886</v>
      </c>
      <c r="G2" s="4" t="s">
        <v>25</v>
      </c>
      <c r="H2" s="2" t="s">
        <v>887</v>
      </c>
    </row>
    <row r="3" customFormat="false" ht="22.35" hidden="false" customHeight="false" outlineLevel="0" collapsed="false">
      <c r="A3" s="2" t="s">
        <v>52</v>
      </c>
      <c r="B3" s="2" t="s">
        <v>60</v>
      </c>
      <c r="C3" s="2" t="s">
        <v>888</v>
      </c>
      <c r="D3" s="2" t="s">
        <v>889</v>
      </c>
      <c r="E3" s="2" t="s">
        <v>890</v>
      </c>
      <c r="F3" s="2" t="s">
        <v>891</v>
      </c>
      <c r="G3" s="3" t="s">
        <v>71</v>
      </c>
      <c r="H3" s="3" t="s">
        <v>892</v>
      </c>
    </row>
    <row r="4" customFormat="false" ht="22.35" hidden="false" customHeight="false" outlineLevel="0" collapsed="false">
      <c r="A4" s="2" t="s">
        <v>52</v>
      </c>
      <c r="B4" s="2" t="s">
        <v>66</v>
      </c>
      <c r="C4" s="2" t="s">
        <v>893</v>
      </c>
      <c r="D4" s="2" t="s">
        <v>894</v>
      </c>
      <c r="E4" s="2" t="s">
        <v>895</v>
      </c>
      <c r="F4" s="2" t="s">
        <v>896</v>
      </c>
      <c r="G4" s="3" t="s">
        <v>71</v>
      </c>
      <c r="H4" s="3" t="s">
        <v>897</v>
      </c>
    </row>
    <row r="5" customFormat="false" ht="15" hidden="false" customHeight="false" outlineLevel="0" collapsed="false">
      <c r="A5" s="2" t="s">
        <v>52</v>
      </c>
      <c r="B5" s="2" t="s">
        <v>73</v>
      </c>
      <c r="C5" s="2" t="s">
        <v>898</v>
      </c>
      <c r="D5" s="2" t="s">
        <v>899</v>
      </c>
      <c r="E5" s="2" t="s">
        <v>900</v>
      </c>
      <c r="F5" s="2" t="s">
        <v>901</v>
      </c>
      <c r="G5" s="3" t="s">
        <v>71</v>
      </c>
      <c r="H5" s="3" t="s">
        <v>902</v>
      </c>
    </row>
    <row r="6" customFormat="false" ht="15" hidden="false" customHeight="false" outlineLevel="0" collapsed="false">
      <c r="A6" s="2" t="s">
        <v>52</v>
      </c>
      <c r="B6" s="2" t="s">
        <v>85</v>
      </c>
      <c r="C6" s="2" t="s">
        <v>903</v>
      </c>
      <c r="D6" s="2" t="s">
        <v>904</v>
      </c>
      <c r="E6" s="2" t="s">
        <v>905</v>
      </c>
      <c r="F6" s="2" t="s">
        <v>906</v>
      </c>
      <c r="G6" s="3" t="s">
        <v>71</v>
      </c>
      <c r="H6" s="3" t="s">
        <v>907</v>
      </c>
    </row>
    <row r="7" customFormat="false" ht="43.25" hidden="false" customHeight="false" outlineLevel="0" collapsed="false">
      <c r="A7" s="2" t="s">
        <v>90</v>
      </c>
      <c r="B7" s="2" t="s">
        <v>98</v>
      </c>
      <c r="C7" s="2" t="s">
        <v>908</v>
      </c>
      <c r="D7" s="2" t="s">
        <v>909</v>
      </c>
      <c r="E7" s="2" t="s">
        <v>910</v>
      </c>
      <c r="F7" s="2" t="s">
        <v>911</v>
      </c>
      <c r="G7" s="4" t="s">
        <v>25</v>
      </c>
      <c r="H7" s="2" t="s">
        <v>912</v>
      </c>
    </row>
    <row r="8" customFormat="false" ht="22.35" hidden="false" customHeight="false" outlineLevel="0" collapsed="false">
      <c r="A8" s="2" t="s">
        <v>90</v>
      </c>
      <c r="B8" s="2" t="s">
        <v>122</v>
      </c>
      <c r="C8" s="2" t="s">
        <v>913</v>
      </c>
      <c r="D8" s="2" t="s">
        <v>914</v>
      </c>
      <c r="E8" s="2" t="s">
        <v>915</v>
      </c>
      <c r="F8" s="2" t="s">
        <v>916</v>
      </c>
      <c r="G8" s="3" t="s">
        <v>71</v>
      </c>
      <c r="H8" s="3" t="s">
        <v>917</v>
      </c>
    </row>
    <row r="9" customFormat="false" ht="22.35" hidden="false" customHeight="false" outlineLevel="0" collapsed="false">
      <c r="A9" s="2" t="s">
        <v>90</v>
      </c>
      <c r="B9" s="2" t="s">
        <v>126</v>
      </c>
      <c r="C9" s="2" t="s">
        <v>918</v>
      </c>
      <c r="D9" s="2" t="s">
        <v>919</v>
      </c>
      <c r="E9" s="2" t="s">
        <v>920</v>
      </c>
      <c r="F9" s="2" t="s">
        <v>896</v>
      </c>
      <c r="G9" s="3" t="s">
        <v>71</v>
      </c>
      <c r="H9" s="4" t="s">
        <v>921</v>
      </c>
    </row>
    <row r="10" customFormat="false" ht="22.35" hidden="false" customHeight="false" outlineLevel="0" collapsed="false">
      <c r="A10" s="2" t="s">
        <v>137</v>
      </c>
      <c r="B10" s="2" t="s">
        <v>161</v>
      </c>
      <c r="C10" s="2" t="s">
        <v>922</v>
      </c>
      <c r="D10" s="2" t="s">
        <v>923</v>
      </c>
      <c r="E10" s="2" t="s">
        <v>924</v>
      </c>
      <c r="F10" s="2" t="s">
        <v>925</v>
      </c>
      <c r="G10" s="3" t="s">
        <v>71</v>
      </c>
      <c r="H10" s="3" t="s">
        <v>926</v>
      </c>
    </row>
    <row r="11" customFormat="false" ht="15" hidden="false" customHeight="false" outlineLevel="0" collapsed="false">
      <c r="A11" s="2" t="s">
        <v>207</v>
      </c>
      <c r="B11" s="2" t="s">
        <v>216</v>
      </c>
      <c r="C11" s="2" t="s">
        <v>927</v>
      </c>
      <c r="D11" s="2" t="s">
        <v>928</v>
      </c>
      <c r="E11" s="2" t="s">
        <v>929</v>
      </c>
      <c r="F11" s="2" t="s">
        <v>930</v>
      </c>
      <c r="G11" s="3" t="s">
        <v>71</v>
      </c>
      <c r="H11" s="3" t="s">
        <v>931</v>
      </c>
    </row>
    <row r="12" customFormat="false" ht="43.25" hidden="false" customHeight="false" outlineLevel="0" collapsed="false">
      <c r="A12" s="2" t="s">
        <v>353</v>
      </c>
      <c r="B12" s="2" t="s">
        <v>11</v>
      </c>
      <c r="C12" s="2" t="s">
        <v>932</v>
      </c>
      <c r="D12" s="2" t="s">
        <v>933</v>
      </c>
      <c r="E12" s="2" t="s">
        <v>934</v>
      </c>
      <c r="F12" s="2" t="s">
        <v>935</v>
      </c>
      <c r="G12" s="4" t="s">
        <v>25</v>
      </c>
      <c r="H12" s="2" t="s">
        <v>936</v>
      </c>
    </row>
    <row r="13" customFormat="false" ht="43.25" hidden="false" customHeight="false" outlineLevel="0" collapsed="false">
      <c r="A13" s="2" t="s">
        <v>353</v>
      </c>
      <c r="B13" s="2" t="s">
        <v>20</v>
      </c>
      <c r="C13" s="2" t="s">
        <v>937</v>
      </c>
      <c r="D13" s="2" t="s">
        <v>938</v>
      </c>
      <c r="E13" s="2" t="s">
        <v>939</v>
      </c>
      <c r="F13" s="2" t="s">
        <v>940</v>
      </c>
      <c r="G13" s="4" t="s">
        <v>25</v>
      </c>
      <c r="H13" s="2" t="s">
        <v>941</v>
      </c>
    </row>
    <row r="14" customFormat="false" ht="15" hidden="false" customHeight="false" outlineLevel="0" collapsed="false">
      <c r="A14" s="2" t="s">
        <v>366</v>
      </c>
      <c r="B14" s="2" t="s">
        <v>66</v>
      </c>
      <c r="C14" s="2" t="s">
        <v>942</v>
      </c>
      <c r="D14" s="2" t="s">
        <v>943</v>
      </c>
      <c r="E14" s="2" t="s">
        <v>944</v>
      </c>
      <c r="F14" s="2" t="s">
        <v>896</v>
      </c>
      <c r="G14" s="3" t="s">
        <v>71</v>
      </c>
      <c r="H14" s="3" t="s">
        <v>945</v>
      </c>
    </row>
    <row r="15" customFormat="false" ht="43.25" hidden="false" customHeight="false" outlineLevel="0" collapsed="false">
      <c r="A15" s="2" t="s">
        <v>946</v>
      </c>
      <c r="B15" s="2" t="s">
        <v>392</v>
      </c>
      <c r="C15" s="2" t="s">
        <v>947</v>
      </c>
      <c r="D15" s="2" t="s">
        <v>948</v>
      </c>
      <c r="E15" s="2" t="s">
        <v>949</v>
      </c>
      <c r="F15" s="2" t="s">
        <v>950</v>
      </c>
      <c r="G15" s="4" t="s">
        <v>25</v>
      </c>
      <c r="H15" s="2" t="s">
        <v>936</v>
      </c>
    </row>
    <row r="16" customFormat="false" ht="43.25" hidden="false" customHeight="false" outlineLevel="0" collapsed="false">
      <c r="A16" s="2" t="s">
        <v>946</v>
      </c>
      <c r="B16" s="2" t="s">
        <v>166</v>
      </c>
      <c r="C16" s="2" t="s">
        <v>951</v>
      </c>
      <c r="D16" s="2" t="s">
        <v>952</v>
      </c>
      <c r="E16" s="2" t="s">
        <v>953</v>
      </c>
      <c r="F16" s="2" t="s">
        <v>954</v>
      </c>
      <c r="G16" s="4" t="s">
        <v>25</v>
      </c>
      <c r="H16" s="2" t="s">
        <v>955</v>
      </c>
    </row>
    <row r="17" customFormat="false" ht="43.25" hidden="false" customHeight="false" outlineLevel="0" collapsed="false">
      <c r="A17" s="2" t="s">
        <v>956</v>
      </c>
      <c r="B17" s="2" t="s">
        <v>208</v>
      </c>
      <c r="C17" s="2" t="s">
        <v>957</v>
      </c>
      <c r="D17" s="2" t="s">
        <v>958</v>
      </c>
      <c r="E17" s="2" t="s">
        <v>959</v>
      </c>
      <c r="F17" s="2" t="s">
        <v>960</v>
      </c>
      <c r="G17" s="4" t="s">
        <v>25</v>
      </c>
      <c r="H17" s="2" t="s">
        <v>961</v>
      </c>
    </row>
    <row r="18" customFormat="false" ht="15" hidden="false" customHeight="false" outlineLevel="0" collapsed="false">
      <c r="A18" s="9" t="s">
        <v>962</v>
      </c>
      <c r="B18" s="9"/>
      <c r="C18" s="9"/>
      <c r="D18" s="9"/>
      <c r="E18" s="9"/>
      <c r="F18" s="9"/>
      <c r="G18" s="9"/>
      <c r="H18" s="9"/>
    </row>
    <row r="19" customFormat="false" ht="22.35" hidden="false" customHeight="false" outlineLevel="0" collapsed="false">
      <c r="A19" s="2" t="s">
        <v>90</v>
      </c>
      <c r="B19" s="2" t="s">
        <v>91</v>
      </c>
      <c r="C19" s="2" t="s">
        <v>963</v>
      </c>
      <c r="D19" s="2" t="s">
        <v>964</v>
      </c>
      <c r="E19" s="2" t="s">
        <v>965</v>
      </c>
      <c r="F19" s="2" t="s">
        <v>966</v>
      </c>
      <c r="G19" s="3" t="s">
        <v>18</v>
      </c>
      <c r="H19" s="19" t="s">
        <v>967</v>
      </c>
    </row>
    <row r="20" customFormat="false" ht="22.35" hidden="false" customHeight="false" outlineLevel="0" collapsed="false">
      <c r="A20" s="2" t="s">
        <v>90</v>
      </c>
      <c r="B20" s="2" t="s">
        <v>104</v>
      </c>
      <c r="C20" s="2" t="s">
        <v>968</v>
      </c>
      <c r="D20" s="2" t="s">
        <v>969</v>
      </c>
      <c r="E20" s="2" t="s">
        <v>970</v>
      </c>
      <c r="F20" s="2" t="s">
        <v>966</v>
      </c>
      <c r="G20" s="3" t="s">
        <v>18</v>
      </c>
      <c r="H20" s="19" t="s">
        <v>967</v>
      </c>
    </row>
    <row r="21" customFormat="false" ht="22.35" hidden="false" customHeight="false" outlineLevel="0" collapsed="false">
      <c r="A21" s="2" t="s">
        <v>90</v>
      </c>
      <c r="B21" s="2" t="s">
        <v>110</v>
      </c>
      <c r="C21" s="2" t="s">
        <v>971</v>
      </c>
      <c r="D21" s="2" t="s">
        <v>972</v>
      </c>
      <c r="E21" s="2" t="s">
        <v>973</v>
      </c>
      <c r="F21" s="2" t="s">
        <v>966</v>
      </c>
      <c r="G21" s="3" t="s">
        <v>18</v>
      </c>
      <c r="H21" s="19" t="s">
        <v>967</v>
      </c>
    </row>
    <row r="22" customFormat="false" ht="15" hidden="false" customHeight="false" outlineLevel="0" collapsed="false">
      <c r="A22" s="2" t="s">
        <v>90</v>
      </c>
      <c r="B22" s="2" t="s">
        <v>115</v>
      </c>
      <c r="C22" s="2" t="s">
        <v>974</v>
      </c>
      <c r="D22" s="2" t="s">
        <v>975</v>
      </c>
      <c r="E22" s="2" t="s">
        <v>976</v>
      </c>
      <c r="F22" s="2" t="s">
        <v>966</v>
      </c>
      <c r="G22" s="3" t="s">
        <v>18</v>
      </c>
      <c r="H22" s="19" t="s">
        <v>967</v>
      </c>
    </row>
    <row r="23" customFormat="false" ht="22.35" hidden="false" customHeight="false" outlineLevel="0" collapsed="false">
      <c r="A23" s="2" t="s">
        <v>137</v>
      </c>
      <c r="B23" s="2" t="s">
        <v>147</v>
      </c>
      <c r="C23" s="2" t="s">
        <v>977</v>
      </c>
      <c r="D23" s="2" t="s">
        <v>978</v>
      </c>
      <c r="E23" s="2" t="s">
        <v>979</v>
      </c>
      <c r="F23" s="2" t="s">
        <v>980</v>
      </c>
      <c r="G23" s="3" t="s">
        <v>18</v>
      </c>
      <c r="H23" s="19" t="s">
        <v>967</v>
      </c>
    </row>
    <row r="24" customFormat="false" ht="22.35" hidden="false" customHeight="false" outlineLevel="0" collapsed="false">
      <c r="A24" s="2" t="s">
        <v>137</v>
      </c>
      <c r="B24" s="2" t="s">
        <v>166</v>
      </c>
      <c r="C24" s="2" t="s">
        <v>981</v>
      </c>
      <c r="D24" s="2" t="s">
        <v>982</v>
      </c>
      <c r="E24" s="2" t="s">
        <v>983</v>
      </c>
      <c r="F24" s="2" t="s">
        <v>984</v>
      </c>
      <c r="G24" s="3" t="s">
        <v>18</v>
      </c>
      <c r="H24" s="19" t="s">
        <v>967</v>
      </c>
    </row>
    <row r="25" customFormat="false" ht="22.35" hidden="false" customHeight="false" outlineLevel="0" collapsed="false">
      <c r="A25" s="2" t="s">
        <v>173</v>
      </c>
      <c r="B25" s="2" t="s">
        <v>174</v>
      </c>
      <c r="C25" s="2" t="s">
        <v>985</v>
      </c>
      <c r="D25" s="2" t="s">
        <v>986</v>
      </c>
      <c r="E25" s="2" t="s">
        <v>987</v>
      </c>
      <c r="F25" s="2" t="s">
        <v>988</v>
      </c>
      <c r="G25" s="3" t="s">
        <v>18</v>
      </c>
      <c r="H25" s="19" t="s">
        <v>989</v>
      </c>
    </row>
    <row r="26" customFormat="false" ht="43.25" hidden="false" customHeight="false" outlineLevel="0" collapsed="false">
      <c r="A26" s="2" t="s">
        <v>173</v>
      </c>
      <c r="B26" s="2" t="s">
        <v>182</v>
      </c>
      <c r="C26" s="2" t="s">
        <v>990</v>
      </c>
      <c r="D26" s="2" t="s">
        <v>991</v>
      </c>
      <c r="E26" s="2" t="s">
        <v>992</v>
      </c>
      <c r="F26" s="2" t="s">
        <v>993</v>
      </c>
      <c r="G26" s="3" t="s">
        <v>18</v>
      </c>
      <c r="H26" s="19" t="s">
        <v>994</v>
      </c>
    </row>
  </sheetData>
  <autoFilter ref="A1:H26"/>
  <mergeCells count="1"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2026-03-15T20:49:21Z</dcterms:created>
  <dc:creator>openpyxl</dc:creator>
  <dc:description/>
  <dc:language>en-US</dc:language>
  <cp:lastModifiedBy/>
  <dcterms:modified xsi:type="dcterms:W3CDTF">2026-03-15T20:49:22Z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